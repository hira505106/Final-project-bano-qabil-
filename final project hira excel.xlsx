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390" yWindow="555" windowWidth="19815" windowHeight="9405" activeTab="3"/>
  </bookViews>
  <sheets>
    <sheet name="Grade Management" sheetId="1" r:id="rId1"/>
    <sheet name="Dashboard" sheetId="3" r:id="rId2"/>
    <sheet name="Filtering Data" sheetId="5" r:id="rId3"/>
    <sheet name="report" sheetId="6" r:id="rId4"/>
  </sheets>
  <definedNames>
    <definedName name="_xlnm._FilterDatabase" localSheetId="1" hidden="1">Dashboard!$A$15:$A$64</definedName>
    <definedName name="_xlnm._FilterDatabase" localSheetId="0" hidden="1">'Grade Management'!$A$2:$T$52</definedName>
    <definedName name="abstract" localSheetId="3">report!$A$11</definedName>
    <definedName name="advantages" localSheetId="3">report!$A$179</definedName>
    <definedName name="conclusion" localSheetId="3">report!$A$205</definedName>
    <definedName name="dashboard" localSheetId="3">report!$A$130</definedName>
    <definedName name="introduction" localSheetId="3">report!$A$16</definedName>
    <definedName name="limitations" localSheetId="3">report!$A$187</definedName>
    <definedName name="objectives" localSheetId="3">report!$A$29</definedName>
    <definedName name="percentage" localSheetId="3">report!$A$87</definedName>
  </definedNames>
  <calcPr calcId="144525"/>
  <pivotCaches>
    <pivotCache cacheId="7" r:id="rId5"/>
  </pivotCaches>
</workbook>
</file>

<file path=xl/calcChain.xml><?xml version="1.0" encoding="utf-8"?>
<calcChain xmlns="http://schemas.openxmlformats.org/spreadsheetml/2006/main">
  <c r="A86" i="6" l="1"/>
  <c r="N3" i="1"/>
  <c r="E11" i="3" l="1"/>
  <c r="E10" i="3"/>
  <c r="E9" i="3"/>
  <c r="E8" i="3"/>
  <c r="E7" i="3"/>
  <c r="E6" i="3"/>
  <c r="E5" i="3"/>
  <c r="E4" i="3"/>
  <c r="E3" i="3"/>
  <c r="E2" i="3"/>
  <c r="S52" i="1"/>
  <c r="R52" i="1"/>
  <c r="M52" i="1"/>
  <c r="N52" i="1" s="1"/>
  <c r="S51" i="1"/>
  <c r="R51" i="1"/>
  <c r="M51" i="1"/>
  <c r="S50" i="1"/>
  <c r="R50" i="1"/>
  <c r="M50" i="1"/>
  <c r="N50" i="1" s="1"/>
  <c r="S49" i="1"/>
  <c r="R49" i="1"/>
  <c r="M49" i="1"/>
  <c r="S48" i="1"/>
  <c r="R48" i="1"/>
  <c r="M48" i="1"/>
  <c r="N48" i="1" s="1"/>
  <c r="S47" i="1"/>
  <c r="R47" i="1"/>
  <c r="M47" i="1"/>
  <c r="S46" i="1"/>
  <c r="R46" i="1"/>
  <c r="M46" i="1"/>
  <c r="N46" i="1" s="1"/>
  <c r="S45" i="1"/>
  <c r="R45" i="1"/>
  <c r="M45" i="1"/>
  <c r="S44" i="1"/>
  <c r="R44" i="1"/>
  <c r="M44" i="1"/>
  <c r="N44" i="1" s="1"/>
  <c r="S43" i="1"/>
  <c r="R43" i="1"/>
  <c r="M43" i="1"/>
  <c r="S42" i="1"/>
  <c r="R42" i="1"/>
  <c r="M42" i="1"/>
  <c r="N42" i="1" s="1"/>
  <c r="P42" i="1" s="1"/>
  <c r="S41" i="1"/>
  <c r="R41" i="1"/>
  <c r="M41" i="1"/>
  <c r="S40" i="1"/>
  <c r="R40" i="1"/>
  <c r="M40" i="1"/>
  <c r="N40" i="1" s="1"/>
  <c r="P40" i="1" s="1"/>
  <c r="S39" i="1"/>
  <c r="R39" i="1"/>
  <c r="M39" i="1"/>
  <c r="S38" i="1"/>
  <c r="R38" i="1"/>
  <c r="M38" i="1"/>
  <c r="N38" i="1" s="1"/>
  <c r="P38" i="1" s="1"/>
  <c r="S37" i="1"/>
  <c r="R37" i="1"/>
  <c r="M37" i="1"/>
  <c r="S36" i="1"/>
  <c r="R36" i="1"/>
  <c r="M36" i="1"/>
  <c r="N36" i="1" s="1"/>
  <c r="P36" i="1" s="1"/>
  <c r="S35" i="1"/>
  <c r="R35" i="1"/>
  <c r="M35" i="1"/>
  <c r="S34" i="1"/>
  <c r="R34" i="1"/>
  <c r="M34" i="1"/>
  <c r="N34" i="1" s="1"/>
  <c r="P34" i="1" s="1"/>
  <c r="S33" i="1"/>
  <c r="R33" i="1"/>
  <c r="M33" i="1"/>
  <c r="S32" i="1"/>
  <c r="R32" i="1"/>
  <c r="M32" i="1"/>
  <c r="N32" i="1" s="1"/>
  <c r="P32" i="1" s="1"/>
  <c r="S31" i="1"/>
  <c r="R31" i="1"/>
  <c r="M31" i="1"/>
  <c r="S30" i="1"/>
  <c r="R30" i="1"/>
  <c r="M30" i="1"/>
  <c r="N30" i="1" s="1"/>
  <c r="P30" i="1" s="1"/>
  <c r="S29" i="1"/>
  <c r="R29" i="1"/>
  <c r="M29" i="1"/>
  <c r="S28" i="1"/>
  <c r="R28" i="1"/>
  <c r="M28" i="1"/>
  <c r="N28" i="1" s="1"/>
  <c r="P28" i="1" s="1"/>
  <c r="S27" i="1"/>
  <c r="R27" i="1"/>
  <c r="M27" i="1"/>
  <c r="S26" i="1"/>
  <c r="R26" i="1"/>
  <c r="M26" i="1"/>
  <c r="N26" i="1" s="1"/>
  <c r="P26" i="1" s="1"/>
  <c r="S25" i="1"/>
  <c r="R25" i="1"/>
  <c r="M25" i="1"/>
  <c r="S24" i="1"/>
  <c r="R24" i="1"/>
  <c r="M24" i="1"/>
  <c r="N24" i="1" s="1"/>
  <c r="P24" i="1" s="1"/>
  <c r="S23" i="1"/>
  <c r="R23" i="1"/>
  <c r="M23" i="1"/>
  <c r="S22" i="1"/>
  <c r="R22" i="1"/>
  <c r="M22" i="1"/>
  <c r="N22" i="1" s="1"/>
  <c r="P22" i="1" s="1"/>
  <c r="S21" i="1"/>
  <c r="R21" i="1"/>
  <c r="M21" i="1"/>
  <c r="S20" i="1"/>
  <c r="R20" i="1"/>
  <c r="M20" i="1"/>
  <c r="N20" i="1" s="1"/>
  <c r="P20" i="1" s="1"/>
  <c r="S19" i="1"/>
  <c r="R19" i="1"/>
  <c r="M19" i="1"/>
  <c r="S18" i="1"/>
  <c r="R18" i="1"/>
  <c r="M18" i="1"/>
  <c r="N18" i="1" s="1"/>
  <c r="P18" i="1" s="1"/>
  <c r="S17" i="1"/>
  <c r="R17" i="1"/>
  <c r="M17" i="1"/>
  <c r="S16" i="1"/>
  <c r="R16" i="1"/>
  <c r="M16" i="1"/>
  <c r="N16" i="1" s="1"/>
  <c r="O16" i="1" s="1"/>
  <c r="S15" i="1"/>
  <c r="R15" i="1"/>
  <c r="M15" i="1"/>
  <c r="N15" i="1" s="1"/>
  <c r="P15" i="1" s="1"/>
  <c r="S14" i="1"/>
  <c r="R14" i="1"/>
  <c r="M14" i="1"/>
  <c r="N14" i="1" s="1"/>
  <c r="O14" i="1" s="1"/>
  <c r="S13" i="1"/>
  <c r="R13" i="1"/>
  <c r="M13" i="1"/>
  <c r="N13" i="1" s="1"/>
  <c r="P13" i="1" s="1"/>
  <c r="S12" i="1"/>
  <c r="R12" i="1"/>
  <c r="M12" i="1"/>
  <c r="N12" i="1" s="1"/>
  <c r="O12" i="1" s="1"/>
  <c r="S11" i="1"/>
  <c r="R11" i="1"/>
  <c r="M11" i="1"/>
  <c r="S10" i="1"/>
  <c r="R10" i="1"/>
  <c r="M10" i="1"/>
  <c r="N10" i="1" s="1"/>
  <c r="P10" i="1" s="1"/>
  <c r="S9" i="1"/>
  <c r="R9" i="1"/>
  <c r="M9" i="1"/>
  <c r="S8" i="1"/>
  <c r="R8" i="1"/>
  <c r="M8" i="1"/>
  <c r="N8" i="1" s="1"/>
  <c r="O8" i="1" s="1"/>
  <c r="S7" i="1"/>
  <c r="R7" i="1"/>
  <c r="M7" i="1"/>
  <c r="S6" i="1"/>
  <c r="R6" i="1"/>
  <c r="M6" i="1"/>
  <c r="N6" i="1" s="1"/>
  <c r="P6" i="1" s="1"/>
  <c r="S5" i="1"/>
  <c r="R5" i="1"/>
  <c r="M5" i="1"/>
  <c r="N5" i="1" s="1"/>
  <c r="S4" i="1"/>
  <c r="R4" i="1"/>
  <c r="M4" i="1"/>
  <c r="S3" i="1"/>
  <c r="R3" i="1"/>
  <c r="M3" i="1"/>
  <c r="Q4" i="1" l="1"/>
  <c r="Q9" i="1"/>
  <c r="N4" i="1"/>
  <c r="P4" i="1" s="1"/>
  <c r="Q6" i="1"/>
  <c r="Q7" i="1"/>
  <c r="Q10" i="1"/>
  <c r="Q11" i="1"/>
  <c r="Q8" i="1"/>
  <c r="P3" i="1"/>
  <c r="O3" i="1"/>
  <c r="P5" i="1"/>
  <c r="O5" i="1"/>
  <c r="Q3" i="1"/>
  <c r="Q5" i="1"/>
  <c r="P8" i="1"/>
  <c r="O6" i="1"/>
  <c r="N7" i="1"/>
  <c r="N9" i="1"/>
  <c r="O10" i="1"/>
  <c r="N11" i="1"/>
  <c r="Q12" i="1"/>
  <c r="P12" i="1"/>
  <c r="O13" i="1"/>
  <c r="Q14" i="1"/>
  <c r="P14" i="1"/>
  <c r="O15" i="1"/>
  <c r="Q16" i="1"/>
  <c r="P16" i="1"/>
  <c r="Q18" i="1"/>
  <c r="Q19" i="1"/>
  <c r="Q22" i="1"/>
  <c r="Q23" i="1"/>
  <c r="Q26" i="1"/>
  <c r="Q27" i="1"/>
  <c r="Q30" i="1"/>
  <c r="Q31" i="1"/>
  <c r="Q34" i="1"/>
  <c r="Q35" i="1"/>
  <c r="Q38" i="1"/>
  <c r="Q39" i="1"/>
  <c r="Q42" i="1"/>
  <c r="Q43" i="1"/>
  <c r="Q45" i="1"/>
  <c r="Q47" i="1"/>
  <c r="Q49" i="1"/>
  <c r="Q51" i="1"/>
  <c r="Q13" i="1"/>
  <c r="Q15" i="1"/>
  <c r="Q17" i="1"/>
  <c r="N17" i="1"/>
  <c r="Q20" i="1"/>
  <c r="Q21" i="1"/>
  <c r="Q24" i="1"/>
  <c r="Q25" i="1"/>
  <c r="Q28" i="1"/>
  <c r="Q29" i="1"/>
  <c r="Q32" i="1"/>
  <c r="Q33" i="1"/>
  <c r="Q36" i="1"/>
  <c r="Q37" i="1"/>
  <c r="Q40" i="1"/>
  <c r="Q41" i="1"/>
  <c r="P44" i="1"/>
  <c r="O44" i="1"/>
  <c r="P46" i="1"/>
  <c r="O46" i="1"/>
  <c r="P48" i="1"/>
  <c r="O48" i="1"/>
  <c r="P50" i="1"/>
  <c r="O50" i="1"/>
  <c r="P52" i="1"/>
  <c r="O52" i="1"/>
  <c r="O18" i="1"/>
  <c r="N19" i="1"/>
  <c r="O20" i="1"/>
  <c r="N21" i="1"/>
  <c r="O22" i="1"/>
  <c r="N23" i="1"/>
  <c r="O24" i="1"/>
  <c r="N25" i="1"/>
  <c r="O26" i="1"/>
  <c r="N27" i="1"/>
  <c r="O28" i="1"/>
  <c r="N29" i="1"/>
  <c r="O30" i="1"/>
  <c r="N31" i="1"/>
  <c r="O32" i="1"/>
  <c r="N33" i="1"/>
  <c r="O34" i="1"/>
  <c r="N35" i="1"/>
  <c r="O36" i="1"/>
  <c r="N37" i="1"/>
  <c r="O38" i="1"/>
  <c r="N39" i="1"/>
  <c r="O40" i="1"/>
  <c r="N41" i="1"/>
  <c r="O42" i="1"/>
  <c r="N43" i="1"/>
  <c r="Q44" i="1"/>
  <c r="N45" i="1"/>
  <c r="Q46" i="1"/>
  <c r="N47" i="1"/>
  <c r="Q48" i="1"/>
  <c r="N49" i="1"/>
  <c r="Q50" i="1"/>
  <c r="N51" i="1"/>
  <c r="Q52" i="1"/>
  <c r="B3" i="3" l="1"/>
  <c r="O4" i="1"/>
  <c r="O51" i="1"/>
  <c r="P51" i="1"/>
  <c r="O49" i="1"/>
  <c r="P49" i="1"/>
  <c r="O47" i="1"/>
  <c r="P47" i="1"/>
  <c r="O45" i="1"/>
  <c r="P45" i="1"/>
  <c r="O43" i="1"/>
  <c r="P43" i="1"/>
  <c r="O41" i="1"/>
  <c r="P41" i="1"/>
  <c r="O39" i="1"/>
  <c r="P39" i="1"/>
  <c r="O37" i="1"/>
  <c r="P37" i="1"/>
  <c r="O35" i="1"/>
  <c r="P35" i="1"/>
  <c r="O33" i="1"/>
  <c r="P33" i="1"/>
  <c r="O31" i="1"/>
  <c r="P31" i="1"/>
  <c r="O29" i="1"/>
  <c r="P29" i="1"/>
  <c r="O27" i="1"/>
  <c r="P27" i="1"/>
  <c r="O25" i="1"/>
  <c r="P25" i="1"/>
  <c r="O23" i="1"/>
  <c r="P23" i="1"/>
  <c r="O21" i="1"/>
  <c r="P21" i="1"/>
  <c r="O19" i="1"/>
  <c r="P19" i="1"/>
  <c r="O17" i="1"/>
  <c r="P17" i="1"/>
  <c r="O11" i="1"/>
  <c r="P11" i="1"/>
  <c r="O9" i="1"/>
  <c r="P9" i="1"/>
  <c r="B4" i="3"/>
  <c r="P7" i="1"/>
  <c r="O7" i="1"/>
  <c r="B5" i="3"/>
</calcChain>
</file>

<file path=xl/sharedStrings.xml><?xml version="1.0" encoding="utf-8"?>
<sst xmlns="http://schemas.openxmlformats.org/spreadsheetml/2006/main" count="367" uniqueCount="295">
  <si>
    <t>Student ID</t>
  </si>
  <si>
    <t>Student Name</t>
  </si>
  <si>
    <t>English</t>
  </si>
  <si>
    <t>Math</t>
  </si>
  <si>
    <t>Physics</t>
  </si>
  <si>
    <t>Chemistry</t>
  </si>
  <si>
    <t>Biology</t>
  </si>
  <si>
    <t>Computer</t>
  </si>
  <si>
    <t>Urdu</t>
  </si>
  <si>
    <t>Islamiat</t>
  </si>
  <si>
    <t>Statistics</t>
  </si>
  <si>
    <t>Economics</t>
  </si>
  <si>
    <t>Total</t>
  </si>
  <si>
    <t>Percentage</t>
  </si>
  <si>
    <t>Grade</t>
  </si>
  <si>
    <t>Status</t>
  </si>
  <si>
    <t>Rank</t>
  </si>
  <si>
    <t>Highest</t>
  </si>
  <si>
    <t>Lowest</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</si>
  <si>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</si>
  <si>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</si>
  <si>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</si>
  <si>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</si>
  <si>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</si>
  <si>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</si>
  <si>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</si>
  <si>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</si>
  <si>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</si>
  <si>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</si>
  <si>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</si>
  <si>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</si>
  <si>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</si>
  <si>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</si>
  <si>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</si>
  <si>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</si>
  <si>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</si>
  <si>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</si>
  <si>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</si>
  <si>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</si>
  <si>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</si>
  <si>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</si>
  <si>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</si>
  <si>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</si>
  <si>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</si>
  <si>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</si>
  <si>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</si>
  <si>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</si>
  <si>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</si>
  <si>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</si>
  <si>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</si>
  <si>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</si>
  <si>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</si>
  <si>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</si>
  <si>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</si>
  <si>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</si>
  <si>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</si>
  <si>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</si>
  <si>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</si>
  <si>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</si>
  <si>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</si>
  <si>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</si>
  <si>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</si>
  <si>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</si>
  <si>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</si>
  <si>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</si>
  <si>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</si>
  <si>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</si>
  <si>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</si>
  <si>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</si>
  <si>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Attendance %</t>
  </si>
  <si>
    <t>Student Performance Dashboard</t>
  </si>
  <si>
    <t>Subject</t>
  </si>
  <si>
    <t>Average</t>
  </si>
  <si>
    <t>Topper Name</t>
  </si>
  <si>
    <t>Highest Percentage</t>
  </si>
  <si>
    <t>Average Percentage</t>
  </si>
  <si>
    <t>Zohan khan</t>
  </si>
  <si>
    <t>Saba amir</t>
  </si>
  <si>
    <t>Hania shezad</t>
  </si>
  <si>
    <t>Sarim Mustafa</t>
  </si>
  <si>
    <t>Haris Khan</t>
  </si>
  <si>
    <t>Aiza Nabeel</t>
  </si>
  <si>
    <t>Farzan Ahmed</t>
  </si>
  <si>
    <t>Rehan Jawwad</t>
  </si>
  <si>
    <t>Dua Fatima</t>
  </si>
  <si>
    <t>Eshal Kashif</t>
  </si>
  <si>
    <t>Hashir Khan</t>
  </si>
  <si>
    <t>Mehwish Rehan</t>
  </si>
  <si>
    <t>Irsa Fatima</t>
  </si>
  <si>
    <t>Inaya Naveed</t>
  </si>
  <si>
    <t>Zaid Khan</t>
  </si>
  <si>
    <t>Farhan Ali</t>
  </si>
  <si>
    <t>Rubab Hania</t>
  </si>
  <si>
    <t>Najia Khurram</t>
  </si>
  <si>
    <t>Zoha Ali</t>
  </si>
  <si>
    <t>Nida Yasir</t>
  </si>
  <si>
    <t>Samreen Ikram</t>
  </si>
  <si>
    <t>Fahad Jaffer</t>
  </si>
  <si>
    <t>Kinza Ali</t>
  </si>
  <si>
    <t>Sohail Ahmed</t>
  </si>
  <si>
    <t>Iqra Aziz</t>
  </si>
  <si>
    <t>Hina Azhar</t>
  </si>
  <si>
    <t>Najia kKhurran</t>
  </si>
  <si>
    <t>Babar Ali</t>
  </si>
  <si>
    <t>Zulqarnain Hyder</t>
  </si>
  <si>
    <t>Maliha Hamza</t>
  </si>
  <si>
    <t>Faizan Ahmed</t>
  </si>
  <si>
    <t>Hamza Ali</t>
  </si>
  <si>
    <t>Fazal Haq</t>
  </si>
  <si>
    <t>Jawwad Azhar</t>
  </si>
  <si>
    <t>Hamadan Ahmed</t>
  </si>
  <si>
    <t>Humaira Arfeen</t>
  </si>
  <si>
    <t>Uzama Pasha</t>
  </si>
  <si>
    <t>Ali Abbas</t>
  </si>
  <si>
    <t>Muskan Khan</t>
  </si>
  <si>
    <t>Fiza Ali</t>
  </si>
  <si>
    <t>Zain A hmed</t>
  </si>
  <si>
    <t>Talha Khan</t>
  </si>
  <si>
    <t>Umm-e-Urwa</t>
  </si>
  <si>
    <t>Tanzeel Ahmed</t>
  </si>
  <si>
    <t>Furqan Babar</t>
  </si>
  <si>
    <t>Konain Fatima</t>
  </si>
  <si>
    <t>Zakariya Ahmed</t>
  </si>
  <si>
    <t>Kabeer Ahmed</t>
  </si>
  <si>
    <t>Student Grade Management Sheet</t>
  </si>
  <si>
    <t>C</t>
  </si>
  <si>
    <t>Pass</t>
  </si>
  <si>
    <t>B</t>
  </si>
  <si>
    <t>A</t>
  </si>
  <si>
    <t>A+</t>
  </si>
  <si>
    <t>D</t>
  </si>
  <si>
    <t>Row Labels</t>
  </si>
  <si>
    <t>Grand Total</t>
  </si>
  <si>
    <t>Sum of Total</t>
  </si>
  <si>
    <t>Sum of Percentage</t>
  </si>
  <si>
    <t>Sum of Rank</t>
  </si>
  <si>
    <t>Sum of Attendance %</t>
  </si>
  <si>
    <t>ADVANCED STUDENT GRADE MANAGEMENT SYSTEM</t>
  </si>
  <si>
    <t>Project Report</t>
  </si>
  <si>
    <t>Submitted By</t>
  </si>
  <si>
    <r>
      <t>Name:</t>
    </r>
    <r>
      <rPr>
        <sz val="12"/>
        <color theme="1"/>
        <rFont val="Arial"/>
        <family val="2"/>
      </rPr>
      <t xml:space="preserve"> HIRA KASHIF</t>
    </r>
  </si>
  <si>
    <t>Student ID: 505106</t>
  </si>
  <si>
    <r>
      <t>Institution:</t>
    </r>
    <r>
      <rPr>
        <sz val="12"/>
        <color theme="1"/>
        <rFont val="Arial"/>
        <family val="2"/>
      </rPr>
      <t xml:space="preserve"> Bano Qabil</t>
    </r>
  </si>
  <si>
    <t>Abstract</t>
  </si>
  <si>
    <t>The Advanced Student Grade Management System is an Excel-based application developed to automate the process of recording, calculating, analyzing, and reporting student academic performance. The system maintains student records, subject-wise marks, attendance information, grades, rankings, and performance statistics. It reduces manual effort, minimizes calculation errors, and provides quick access to academic reports through automated formulas, charts, dashboards, and data validation features.</t>
  </si>
  <si>
    <t>The project demonstrates the practical use of Microsoft Excel in educational data management and decision-making.</t>
  </si>
  <si>
    <t>Introduction</t>
  </si>
  <si>
    <t>Educational institutions manage large amounts of student academic data. Traditional manual methods are time-consuming and prone to errors. The Advanced Student Grade Management System provides a computerized solution using Microsoft Excel.</t>
  </si>
  <si>
    <t>The system automates:</t>
  </si>
  <si>
    <r>
      <t>·</t>
    </r>
    <r>
      <rPr>
        <sz val="7"/>
        <color theme="1"/>
        <rFont val="Times New Roman"/>
        <family val="1"/>
      </rPr>
      <t xml:space="preserve">         </t>
    </r>
    <r>
      <rPr>
        <sz val="12"/>
        <color theme="1"/>
        <rFont val="Arial"/>
        <family val="2"/>
      </rPr>
      <t>Marks entry</t>
    </r>
  </si>
  <si>
    <r>
      <t>·</t>
    </r>
    <r>
      <rPr>
        <sz val="7"/>
        <color theme="1"/>
        <rFont val="Times New Roman"/>
        <family val="1"/>
      </rPr>
      <t xml:space="preserve">         </t>
    </r>
    <r>
      <rPr>
        <sz val="12"/>
        <color theme="1"/>
        <rFont val="Arial"/>
        <family val="2"/>
      </rPr>
      <t>Grade calculation</t>
    </r>
  </si>
  <si>
    <r>
      <t>·</t>
    </r>
    <r>
      <rPr>
        <sz val="7"/>
        <color theme="1"/>
        <rFont val="Times New Roman"/>
        <family val="1"/>
      </rPr>
      <t xml:space="preserve">         </t>
    </r>
    <r>
      <rPr>
        <sz val="12"/>
        <color theme="1"/>
        <rFont val="Arial"/>
        <family val="2"/>
      </rPr>
      <t>Percentage calculation</t>
    </r>
  </si>
  <si>
    <r>
      <t>·</t>
    </r>
    <r>
      <rPr>
        <sz val="7"/>
        <color theme="1"/>
        <rFont val="Times New Roman"/>
        <family val="1"/>
      </rPr>
      <t xml:space="preserve">         </t>
    </r>
    <r>
      <rPr>
        <sz val="12"/>
        <color theme="1"/>
        <rFont val="Arial"/>
        <family val="2"/>
      </rPr>
      <t>Pass/Fail determination</t>
    </r>
  </si>
  <si>
    <r>
      <t>·</t>
    </r>
    <r>
      <rPr>
        <sz val="7"/>
        <color theme="1"/>
        <rFont val="Times New Roman"/>
        <family val="1"/>
      </rPr>
      <t xml:space="preserve">         </t>
    </r>
    <r>
      <rPr>
        <sz val="12"/>
        <color theme="1"/>
        <rFont val="Arial"/>
        <family val="2"/>
      </rPr>
      <t>Student ranking</t>
    </r>
  </si>
  <si>
    <r>
      <t>·</t>
    </r>
    <r>
      <rPr>
        <sz val="7"/>
        <color theme="1"/>
        <rFont val="Times New Roman"/>
        <family val="1"/>
      </rPr>
      <t xml:space="preserve">         </t>
    </r>
    <r>
      <rPr>
        <sz val="12"/>
        <color theme="1"/>
        <rFont val="Arial"/>
        <family val="2"/>
      </rPr>
      <t>Attendance management</t>
    </r>
  </si>
  <si>
    <r>
      <t>·</t>
    </r>
    <r>
      <rPr>
        <sz val="7"/>
        <color theme="1"/>
        <rFont val="Times New Roman"/>
        <family val="1"/>
      </rPr>
      <t xml:space="preserve">         </t>
    </r>
    <r>
      <rPr>
        <sz val="12"/>
        <color theme="1"/>
        <rFont val="Arial"/>
        <family val="2"/>
      </rPr>
      <t>Performance analysis</t>
    </r>
  </si>
  <si>
    <t>This project improves efficiency, accuracy, and accessibility of student information.</t>
  </si>
  <si>
    <t>Objectives</t>
  </si>
  <si>
    <t>The main objectives of the project are:</t>
  </si>
  <si>
    <r>
      <t>1.</t>
    </r>
    <r>
      <rPr>
        <sz val="7"/>
        <color theme="1"/>
        <rFont val="Times New Roman"/>
        <family val="1"/>
      </rPr>
      <t xml:space="preserve">    </t>
    </r>
    <r>
      <rPr>
        <sz val="12"/>
        <color theme="1"/>
        <rFont val="Arial"/>
        <family val="2"/>
      </rPr>
      <t>To maintain student academic records.</t>
    </r>
  </si>
  <si>
    <r>
      <t>2.</t>
    </r>
    <r>
      <rPr>
        <sz val="7"/>
        <color theme="1"/>
        <rFont val="Times New Roman"/>
        <family val="1"/>
      </rPr>
      <t xml:space="preserve">    </t>
    </r>
    <r>
      <rPr>
        <sz val="12"/>
        <color theme="1"/>
        <rFont val="Arial"/>
        <family val="2"/>
      </rPr>
      <t>To calculate total marks automatically.</t>
    </r>
  </si>
  <si>
    <r>
      <t>3.</t>
    </r>
    <r>
      <rPr>
        <sz val="7"/>
        <color theme="1"/>
        <rFont val="Times New Roman"/>
        <family val="1"/>
      </rPr>
      <t xml:space="preserve">    </t>
    </r>
    <r>
      <rPr>
        <sz val="12"/>
        <color theme="1"/>
        <rFont val="Arial"/>
        <family val="2"/>
      </rPr>
      <t>To generate percentages and grades.</t>
    </r>
  </si>
  <si>
    <r>
      <t>4.</t>
    </r>
    <r>
      <rPr>
        <sz val="7"/>
        <color theme="1"/>
        <rFont val="Times New Roman"/>
        <family val="1"/>
      </rPr>
      <t xml:space="preserve">    </t>
    </r>
    <r>
      <rPr>
        <sz val="12"/>
        <color theme="1"/>
        <rFont val="Arial"/>
        <family val="2"/>
      </rPr>
      <t>To determine pass/fail status.</t>
    </r>
  </si>
  <si>
    <r>
      <t>5.</t>
    </r>
    <r>
      <rPr>
        <sz val="7"/>
        <color theme="1"/>
        <rFont val="Times New Roman"/>
        <family val="1"/>
      </rPr>
      <t xml:space="preserve">    </t>
    </r>
    <r>
      <rPr>
        <sz val="12"/>
        <color theme="1"/>
        <rFont val="Arial"/>
        <family val="2"/>
      </rPr>
      <t>To rank students according to performance.</t>
    </r>
  </si>
  <si>
    <r>
      <t>6.</t>
    </r>
    <r>
      <rPr>
        <sz val="7"/>
        <color theme="1"/>
        <rFont val="Times New Roman"/>
        <family val="1"/>
      </rPr>
      <t xml:space="preserve">    </t>
    </r>
    <r>
      <rPr>
        <sz val="12"/>
        <color theme="1"/>
        <rFont val="Arial"/>
        <family val="2"/>
      </rPr>
      <t>To identify highest and lowest subject marks.</t>
    </r>
  </si>
  <si>
    <r>
      <t>7.</t>
    </r>
    <r>
      <rPr>
        <sz val="7"/>
        <color theme="1"/>
        <rFont val="Times New Roman"/>
        <family val="1"/>
      </rPr>
      <t xml:space="preserve">    </t>
    </r>
    <r>
      <rPr>
        <sz val="12"/>
        <color theme="1"/>
        <rFont val="Arial"/>
        <family val="2"/>
      </rPr>
      <t>To maintain attendance records.</t>
    </r>
  </si>
  <si>
    <r>
      <t>8.</t>
    </r>
    <r>
      <rPr>
        <sz val="7"/>
        <color theme="1"/>
        <rFont val="Times New Roman"/>
        <family val="1"/>
      </rPr>
      <t xml:space="preserve">    </t>
    </r>
    <r>
      <rPr>
        <sz val="12"/>
        <color theme="1"/>
        <rFont val="Arial"/>
        <family val="2"/>
      </rPr>
      <t>To create dashboards for performance monitoring.</t>
    </r>
  </si>
  <si>
    <r>
      <t>9.</t>
    </r>
    <r>
      <rPr>
        <sz val="7"/>
        <color theme="1"/>
        <rFont val="Times New Roman"/>
        <family val="1"/>
      </rPr>
      <t xml:space="preserve">    </t>
    </r>
    <r>
      <rPr>
        <sz val="12"/>
        <color theme="1"/>
        <rFont val="Arial"/>
        <family val="2"/>
      </rPr>
      <t>To reduce manual calculation errors.</t>
    </r>
  </si>
  <si>
    <r>
      <t>10.</t>
    </r>
    <r>
      <rPr>
        <sz val="7"/>
        <color theme="1"/>
        <rFont val="Times New Roman"/>
        <family val="1"/>
      </rPr>
      <t xml:space="preserve"> </t>
    </r>
    <r>
      <rPr>
        <sz val="12"/>
        <color theme="1"/>
        <rFont val="Arial"/>
        <family val="2"/>
      </rPr>
      <t>To provide an easy-to-use academic management system.</t>
    </r>
  </si>
  <si>
    <t>Scope of the Project</t>
  </si>
  <si>
    <t>The system can be used by:</t>
  </si>
  <si>
    <r>
      <t>·</t>
    </r>
    <r>
      <rPr>
        <sz val="7"/>
        <color theme="1"/>
        <rFont val="Times New Roman"/>
        <family val="1"/>
      </rPr>
      <t xml:space="preserve">         </t>
    </r>
    <r>
      <rPr>
        <sz val="12"/>
        <color theme="1"/>
        <rFont val="Arial"/>
        <family val="2"/>
      </rPr>
      <t>Schools</t>
    </r>
  </si>
  <si>
    <r>
      <t>·</t>
    </r>
    <r>
      <rPr>
        <sz val="7"/>
        <color theme="1"/>
        <rFont val="Times New Roman"/>
        <family val="1"/>
      </rPr>
      <t xml:space="preserve">         </t>
    </r>
    <r>
      <rPr>
        <sz val="12"/>
        <color theme="1"/>
        <rFont val="Arial"/>
        <family val="2"/>
      </rPr>
      <t>Colleges</t>
    </r>
  </si>
  <si>
    <r>
      <t>·</t>
    </r>
    <r>
      <rPr>
        <sz val="7"/>
        <color theme="1"/>
        <rFont val="Times New Roman"/>
        <family val="1"/>
      </rPr>
      <t xml:space="preserve">         </t>
    </r>
    <r>
      <rPr>
        <sz val="12"/>
        <color theme="1"/>
        <rFont val="Arial"/>
        <family val="2"/>
      </rPr>
      <t>Universities</t>
    </r>
  </si>
  <si>
    <r>
      <t>·</t>
    </r>
    <r>
      <rPr>
        <sz val="7"/>
        <color theme="1"/>
        <rFont val="Times New Roman"/>
        <family val="1"/>
      </rPr>
      <t xml:space="preserve">         </t>
    </r>
    <r>
      <rPr>
        <sz val="12"/>
        <color theme="1"/>
        <rFont val="Arial"/>
        <family val="2"/>
      </rPr>
      <t>Coaching Centers</t>
    </r>
  </si>
  <si>
    <r>
      <t>·</t>
    </r>
    <r>
      <rPr>
        <sz val="7"/>
        <color theme="1"/>
        <rFont val="Times New Roman"/>
        <family val="1"/>
      </rPr>
      <t xml:space="preserve">         </t>
    </r>
    <r>
      <rPr>
        <sz val="12"/>
        <color theme="1"/>
        <rFont val="Arial"/>
        <family val="2"/>
      </rPr>
      <t>Training Institutes</t>
    </r>
  </si>
  <si>
    <t>The project can manage:</t>
  </si>
  <si>
    <r>
      <t>·</t>
    </r>
    <r>
      <rPr>
        <sz val="7"/>
        <color theme="1"/>
        <rFont val="Times New Roman"/>
        <family val="1"/>
      </rPr>
      <t xml:space="preserve">         </t>
    </r>
    <r>
      <rPr>
        <sz val="12"/>
        <color theme="1"/>
        <rFont val="Arial"/>
        <family val="2"/>
      </rPr>
      <t>Student records</t>
    </r>
  </si>
  <si>
    <r>
      <t>·</t>
    </r>
    <r>
      <rPr>
        <sz val="7"/>
        <color theme="1"/>
        <rFont val="Times New Roman"/>
        <family val="1"/>
      </rPr>
      <t xml:space="preserve">         </t>
    </r>
    <r>
      <rPr>
        <sz val="12"/>
        <color theme="1"/>
        <rFont val="Arial"/>
        <family val="2"/>
      </rPr>
      <t>Subject marks</t>
    </r>
  </si>
  <si>
    <r>
      <t>·</t>
    </r>
    <r>
      <rPr>
        <sz val="7"/>
        <color theme="1"/>
        <rFont val="Times New Roman"/>
        <family val="1"/>
      </rPr>
      <t xml:space="preserve">         </t>
    </r>
    <r>
      <rPr>
        <sz val="12"/>
        <color theme="1"/>
        <rFont val="Arial"/>
        <family val="2"/>
      </rPr>
      <t>Attendance</t>
    </r>
  </si>
  <si>
    <r>
      <t>·</t>
    </r>
    <r>
      <rPr>
        <sz val="7"/>
        <color theme="1"/>
        <rFont val="Times New Roman"/>
        <family val="1"/>
      </rPr>
      <t xml:space="preserve">         </t>
    </r>
    <r>
      <rPr>
        <sz val="12"/>
        <color theme="1"/>
        <rFont val="Arial"/>
        <family val="2"/>
      </rPr>
      <t>Performance reports</t>
    </r>
  </si>
  <si>
    <r>
      <t>·</t>
    </r>
    <r>
      <rPr>
        <sz val="7"/>
        <color theme="1"/>
        <rFont val="Times New Roman"/>
        <family val="1"/>
      </rPr>
      <t xml:space="preserve">         </t>
    </r>
    <r>
      <rPr>
        <sz val="12"/>
        <color theme="1"/>
        <rFont val="Arial"/>
        <family val="2"/>
      </rPr>
      <t>Academic statistics</t>
    </r>
  </si>
  <si>
    <t>System Features</t>
  </si>
  <si>
    <t>1. Student Information Management</t>
  </si>
  <si>
    <t>The system stores:</t>
  </si>
  <si>
    <r>
      <t>·</t>
    </r>
    <r>
      <rPr>
        <sz val="7"/>
        <color theme="1"/>
        <rFont val="Times New Roman"/>
        <family val="1"/>
      </rPr>
      <t xml:space="preserve">         </t>
    </r>
    <r>
      <rPr>
        <sz val="12"/>
        <color theme="1"/>
        <rFont val="Arial"/>
        <family val="2"/>
      </rPr>
      <t>Student ID</t>
    </r>
  </si>
  <si>
    <r>
      <t>·</t>
    </r>
    <r>
      <rPr>
        <sz val="7"/>
        <color theme="1"/>
        <rFont val="Times New Roman"/>
        <family val="1"/>
      </rPr>
      <t xml:space="preserve">         </t>
    </r>
    <r>
      <rPr>
        <sz val="12"/>
        <color theme="1"/>
        <rFont val="Arial"/>
        <family val="2"/>
      </rPr>
      <t>Student Name</t>
    </r>
  </si>
  <si>
    <r>
      <t>·</t>
    </r>
    <r>
      <rPr>
        <sz val="7"/>
        <color theme="1"/>
        <rFont val="Times New Roman"/>
        <family val="1"/>
      </rPr>
      <t xml:space="preserve">         </t>
    </r>
    <r>
      <rPr>
        <sz val="12"/>
        <color theme="1"/>
        <rFont val="Arial"/>
        <family val="2"/>
      </rPr>
      <t>Academic Records</t>
    </r>
  </si>
  <si>
    <t>2. Subject-wise Marks Entry</t>
  </si>
  <si>
    <t>Marks are entered for 10 subjects:</t>
  </si>
  <si>
    <r>
      <t>1.</t>
    </r>
    <r>
      <rPr>
        <sz val="7"/>
        <color theme="1"/>
        <rFont val="Times New Roman"/>
        <family val="1"/>
      </rPr>
      <t xml:space="preserve">    </t>
    </r>
    <r>
      <rPr>
        <sz val="12"/>
        <color theme="1"/>
        <rFont val="Arial"/>
        <family val="2"/>
      </rPr>
      <t>English</t>
    </r>
  </si>
  <si>
    <r>
      <t>2.</t>
    </r>
    <r>
      <rPr>
        <sz val="7"/>
        <color theme="1"/>
        <rFont val="Times New Roman"/>
        <family val="1"/>
      </rPr>
      <t xml:space="preserve">    </t>
    </r>
    <r>
      <rPr>
        <sz val="12"/>
        <color theme="1"/>
        <rFont val="Arial"/>
        <family val="2"/>
      </rPr>
      <t>Mathematics</t>
    </r>
  </si>
  <si>
    <r>
      <t>3.</t>
    </r>
    <r>
      <rPr>
        <sz val="7"/>
        <color theme="1"/>
        <rFont val="Times New Roman"/>
        <family val="1"/>
      </rPr>
      <t xml:space="preserve">    </t>
    </r>
    <r>
      <rPr>
        <sz val="12"/>
        <color theme="1"/>
        <rFont val="Arial"/>
        <family val="2"/>
      </rPr>
      <t>Physics</t>
    </r>
  </si>
  <si>
    <r>
      <t>4.</t>
    </r>
    <r>
      <rPr>
        <sz val="7"/>
        <color theme="1"/>
        <rFont val="Times New Roman"/>
        <family val="1"/>
      </rPr>
      <t xml:space="preserve">    </t>
    </r>
    <r>
      <rPr>
        <sz val="12"/>
        <color theme="1"/>
        <rFont val="Arial"/>
        <family val="2"/>
      </rPr>
      <t>Chemistry</t>
    </r>
  </si>
  <si>
    <r>
      <t>5.</t>
    </r>
    <r>
      <rPr>
        <sz val="7"/>
        <color theme="1"/>
        <rFont val="Times New Roman"/>
        <family val="1"/>
      </rPr>
      <t xml:space="preserve">    </t>
    </r>
    <r>
      <rPr>
        <sz val="12"/>
        <color theme="1"/>
        <rFont val="Arial"/>
        <family val="2"/>
      </rPr>
      <t>Biology</t>
    </r>
  </si>
  <si>
    <r>
      <t>6.</t>
    </r>
    <r>
      <rPr>
        <sz val="7"/>
        <color theme="1"/>
        <rFont val="Times New Roman"/>
        <family val="1"/>
      </rPr>
      <t xml:space="preserve">    </t>
    </r>
    <r>
      <rPr>
        <sz val="12"/>
        <color theme="1"/>
        <rFont val="Arial"/>
        <family val="2"/>
      </rPr>
      <t>Computer Science</t>
    </r>
  </si>
  <si>
    <r>
      <t>7.</t>
    </r>
    <r>
      <rPr>
        <sz val="7"/>
        <color theme="1"/>
        <rFont val="Times New Roman"/>
        <family val="1"/>
      </rPr>
      <t xml:space="preserve">    </t>
    </r>
    <r>
      <rPr>
        <sz val="12"/>
        <color theme="1"/>
        <rFont val="Arial"/>
        <family val="2"/>
      </rPr>
      <t>Urdu</t>
    </r>
  </si>
  <si>
    <r>
      <t>8.</t>
    </r>
    <r>
      <rPr>
        <sz val="7"/>
        <color theme="1"/>
        <rFont val="Times New Roman"/>
        <family val="1"/>
      </rPr>
      <t xml:space="preserve">    </t>
    </r>
    <r>
      <rPr>
        <sz val="12"/>
        <color theme="1"/>
        <rFont val="Arial"/>
        <family val="2"/>
      </rPr>
      <t>Islamiat</t>
    </r>
  </si>
  <si>
    <r>
      <t>9.</t>
    </r>
    <r>
      <rPr>
        <sz val="7"/>
        <color theme="1"/>
        <rFont val="Times New Roman"/>
        <family val="1"/>
      </rPr>
      <t xml:space="preserve">    </t>
    </r>
    <r>
      <rPr>
        <sz val="12"/>
        <color theme="1"/>
        <rFont val="Arial"/>
        <family val="2"/>
      </rPr>
      <t>Statistics</t>
    </r>
  </si>
  <si>
    <r>
      <t>10.</t>
    </r>
    <r>
      <rPr>
        <sz val="7"/>
        <color theme="1"/>
        <rFont val="Times New Roman"/>
        <family val="1"/>
      </rPr>
      <t xml:space="preserve"> </t>
    </r>
    <r>
      <rPr>
        <sz val="12"/>
        <color theme="1"/>
        <rFont val="Arial"/>
        <family val="2"/>
      </rPr>
      <t>Economics</t>
    </r>
  </si>
  <si>
    <t>3. Automatic Calculations</t>
  </si>
  <si>
    <t>Total Marks</t>
  </si>
  <si>
    <t>Total marks are calculated automatically using:</t>
  </si>
  <si>
    <t>Percentage is calculated using:</t>
  </si>
  <si>
    <t>=(Total Marks / 1000) × 100</t>
  </si>
  <si>
    <t>4. Grade Calculation</t>
  </si>
  <si>
    <t>90 – 100</t>
  </si>
  <si>
    <t>80 – 89</t>
  </si>
  <si>
    <t>70 – 79</t>
  </si>
  <si>
    <t>60 – 69</t>
  </si>
  <si>
    <t>50 – 59</t>
  </si>
  <si>
    <t>Below 50</t>
  </si>
  <si>
    <t>F</t>
  </si>
  <si>
    <t>5. Status Determination</t>
  </si>
  <si>
    <t>Students are classified as:</t>
  </si>
  <si>
    <r>
      <t>·</t>
    </r>
    <r>
      <rPr>
        <sz val="7"/>
        <color theme="1"/>
        <rFont val="Times New Roman"/>
        <family val="1"/>
      </rPr>
      <t xml:space="preserve">         </t>
    </r>
    <r>
      <rPr>
        <sz val="12"/>
        <color theme="1"/>
        <rFont val="Arial"/>
        <family val="2"/>
      </rPr>
      <t>Pass</t>
    </r>
  </si>
  <si>
    <r>
      <t>·</t>
    </r>
    <r>
      <rPr>
        <sz val="7"/>
        <color theme="1"/>
        <rFont val="Times New Roman"/>
        <family val="1"/>
      </rPr>
      <t xml:space="preserve">         </t>
    </r>
    <r>
      <rPr>
        <sz val="12"/>
        <color theme="1"/>
        <rFont val="Arial"/>
        <family val="2"/>
      </rPr>
      <t>Fail</t>
    </r>
  </si>
  <si>
    <t>Based on minimum passing criteria.</t>
  </si>
  <si>
    <t>6. Student Ranking</t>
  </si>
  <si>
    <t>Ranks are generated automatically using Excel formulas.</t>
  </si>
  <si>
    <t>Example:</t>
  </si>
  <si>
    <t>=RANK(M2,$M</t>
  </si>
  <si>
    <t>M$51,0)</t>
  </si>
  <si>
    <t>7. Highest and Lowest Marks</t>
  </si>
  <si>
    <t>The system identifies:</t>
  </si>
  <si>
    <t>Highest Marks: =MAX(C2:L2)</t>
  </si>
  <si>
    <t>Lowest Marks: =MIN(C2:L2)</t>
  </si>
  <si>
    <t>8. Attendance Management</t>
  </si>
  <si>
    <t>The attendance sheet maintains:</t>
  </si>
  <si>
    <r>
      <t>·</t>
    </r>
    <r>
      <rPr>
        <sz val="7"/>
        <color theme="1"/>
        <rFont val="Times New Roman"/>
        <family val="1"/>
      </rPr>
      <t xml:space="preserve">         </t>
    </r>
    <r>
      <rPr>
        <sz val="12"/>
        <color theme="1"/>
        <rFont val="Arial"/>
        <family val="2"/>
      </rPr>
      <t>Attendance Percentage</t>
    </r>
  </si>
  <si>
    <t>This helps monitor student participation.</t>
  </si>
  <si>
    <t>9. Dashboard</t>
  </si>
  <si>
    <t>The dashboard provides:</t>
  </si>
  <si>
    <t>Topper Information</t>
  </si>
  <si>
    <t>Displays:</t>
  </si>
  <si>
    <r>
      <t>·</t>
    </r>
    <r>
      <rPr>
        <sz val="7"/>
        <color theme="1"/>
        <rFont val="Times New Roman"/>
        <family val="1"/>
      </rPr>
      <t xml:space="preserve">         </t>
    </r>
    <r>
      <rPr>
        <sz val="12"/>
        <color theme="1"/>
        <rFont val="Arial"/>
        <family val="2"/>
      </rPr>
      <t>Highest scoring student</t>
    </r>
  </si>
  <si>
    <r>
      <t>·</t>
    </r>
    <r>
      <rPr>
        <sz val="7"/>
        <color theme="1"/>
        <rFont val="Times New Roman"/>
        <family val="1"/>
      </rPr>
      <t xml:space="preserve">         </t>
    </r>
    <r>
      <rPr>
        <sz val="12"/>
        <color theme="1"/>
        <rFont val="Arial"/>
        <family val="2"/>
      </rPr>
      <t>Maximum percentage</t>
    </r>
  </si>
  <si>
    <t>Class Statistics</t>
  </si>
  <si>
    <r>
      <t>·</t>
    </r>
    <r>
      <rPr>
        <sz val="7"/>
        <color theme="1"/>
        <rFont val="Times New Roman"/>
        <family val="1"/>
      </rPr>
      <t xml:space="preserve">         </t>
    </r>
    <r>
      <rPr>
        <sz val="12"/>
        <color theme="1"/>
        <rFont val="Arial"/>
        <family val="2"/>
      </rPr>
      <t>Average percentage</t>
    </r>
  </si>
  <si>
    <r>
      <t>·</t>
    </r>
    <r>
      <rPr>
        <sz val="7"/>
        <color theme="1"/>
        <rFont val="Times New Roman"/>
        <family val="1"/>
      </rPr>
      <t xml:space="preserve">         </t>
    </r>
    <r>
      <rPr>
        <sz val="12"/>
        <color theme="1"/>
        <rFont val="Arial"/>
        <family val="2"/>
      </rPr>
      <t>Subject averages</t>
    </r>
  </si>
  <si>
    <r>
      <t>·</t>
    </r>
    <r>
      <rPr>
        <sz val="7"/>
        <color theme="1"/>
        <rFont val="Times New Roman"/>
        <family val="1"/>
      </rPr>
      <t xml:space="preserve">         </t>
    </r>
    <r>
      <rPr>
        <sz val="12"/>
        <color theme="1"/>
        <rFont val="Arial"/>
        <family val="2"/>
      </rPr>
      <t>Performance summary</t>
    </r>
  </si>
  <si>
    <t>Graphical Representation</t>
  </si>
  <si>
    <t>Bar charts visualize:</t>
  </si>
  <si>
    <r>
      <t>·</t>
    </r>
    <r>
      <rPr>
        <sz val="7"/>
        <color theme="1"/>
        <rFont val="Times New Roman"/>
        <family val="1"/>
      </rPr>
      <t xml:space="preserve">         </t>
    </r>
    <r>
      <rPr>
        <sz val="12"/>
        <color theme="1"/>
        <rFont val="Arial"/>
        <family val="2"/>
      </rPr>
      <t>Subject performance</t>
    </r>
  </si>
  <si>
    <r>
      <t>·</t>
    </r>
    <r>
      <rPr>
        <sz val="7"/>
        <color theme="1"/>
        <rFont val="Times New Roman"/>
        <family val="1"/>
      </rPr>
      <t xml:space="preserve">         </t>
    </r>
    <r>
      <rPr>
        <sz val="12"/>
        <color theme="1"/>
        <rFont val="Arial"/>
        <family val="2"/>
      </rPr>
      <t>Student achievement trends</t>
    </r>
  </si>
  <si>
    <t>Data Validation</t>
  </si>
  <si>
    <t>Data Validation ensures that only valid marks are entered.</t>
  </si>
  <si>
    <t>Rules:</t>
  </si>
  <si>
    <r>
      <t>·</t>
    </r>
    <r>
      <rPr>
        <sz val="7"/>
        <color theme="1"/>
        <rFont val="Times New Roman"/>
        <family val="1"/>
      </rPr>
      <t xml:space="preserve">         </t>
    </r>
    <r>
      <rPr>
        <sz val="12"/>
        <color theme="1"/>
        <rFont val="Arial"/>
        <family val="2"/>
      </rPr>
      <t>Minimum Marks = 0</t>
    </r>
  </si>
  <si>
    <r>
      <t>·</t>
    </r>
    <r>
      <rPr>
        <sz val="7"/>
        <color theme="1"/>
        <rFont val="Times New Roman"/>
        <family val="1"/>
      </rPr>
      <t xml:space="preserve">         </t>
    </r>
    <r>
      <rPr>
        <sz val="12"/>
        <color theme="1"/>
        <rFont val="Arial"/>
        <family val="2"/>
      </rPr>
      <t>Maximum Marks = 100</t>
    </r>
  </si>
  <si>
    <t>Benefits:</t>
  </si>
  <si>
    <r>
      <t>·</t>
    </r>
    <r>
      <rPr>
        <sz val="7"/>
        <color theme="1"/>
        <rFont val="Times New Roman"/>
        <family val="1"/>
      </rPr>
      <t xml:space="preserve">         </t>
    </r>
    <r>
      <rPr>
        <sz val="12"/>
        <color theme="1"/>
        <rFont val="Arial"/>
        <family val="2"/>
      </rPr>
      <t>Prevents incorrect data entry</t>
    </r>
  </si>
  <si>
    <r>
      <t>·</t>
    </r>
    <r>
      <rPr>
        <sz val="7"/>
        <color theme="1"/>
        <rFont val="Times New Roman"/>
        <family val="1"/>
      </rPr>
      <t xml:space="preserve">         </t>
    </r>
    <r>
      <rPr>
        <sz val="12"/>
        <color theme="1"/>
        <rFont val="Arial"/>
        <family val="2"/>
      </rPr>
      <t>Improves data accuracy</t>
    </r>
  </si>
  <si>
    <t>Conditional Formatting</t>
  </si>
  <si>
    <t>Conditional formatting is used to highlight performance.</t>
  </si>
  <si>
    <t>Green Color</t>
  </si>
  <si>
    <t>Students scoring 50% or above</t>
  </si>
  <si>
    <t>Red Color</t>
  </si>
  <si>
    <t>Students scoring below 50%</t>
  </si>
  <si>
    <r>
      <t>·</t>
    </r>
    <r>
      <rPr>
        <sz val="7"/>
        <color theme="1"/>
        <rFont val="Times New Roman"/>
        <family val="1"/>
      </rPr>
      <t xml:space="preserve">         </t>
    </r>
    <r>
      <rPr>
        <sz val="12"/>
        <color theme="1"/>
        <rFont val="Arial"/>
        <family val="2"/>
      </rPr>
      <t>Quick identification of weak students</t>
    </r>
  </si>
  <si>
    <r>
      <t>·</t>
    </r>
    <r>
      <rPr>
        <sz val="7"/>
        <color theme="1"/>
        <rFont val="Times New Roman"/>
        <family val="1"/>
      </rPr>
      <t xml:space="preserve">         </t>
    </r>
    <r>
      <rPr>
        <sz val="12"/>
        <color theme="1"/>
        <rFont val="Arial"/>
        <family val="2"/>
      </rPr>
      <t>Better visual analysis</t>
    </r>
  </si>
  <si>
    <t>Project Workflow</t>
  </si>
  <si>
    <r>
      <t>1.</t>
    </r>
    <r>
      <rPr>
        <sz val="7"/>
        <color theme="1"/>
        <rFont val="Times New Roman"/>
        <family val="1"/>
      </rPr>
      <t xml:space="preserve">    </t>
    </r>
    <r>
      <rPr>
        <sz val="12"/>
        <color theme="1"/>
        <rFont val="Arial"/>
        <family val="2"/>
      </rPr>
      <t>Enter Student Information</t>
    </r>
  </si>
  <si>
    <r>
      <t>2.</t>
    </r>
    <r>
      <rPr>
        <sz val="7"/>
        <color theme="1"/>
        <rFont val="Times New Roman"/>
        <family val="1"/>
      </rPr>
      <t xml:space="preserve">    </t>
    </r>
    <r>
      <rPr>
        <sz val="12"/>
        <color theme="1"/>
        <rFont val="Arial"/>
        <family val="2"/>
      </rPr>
      <t>Enter Subject Marks</t>
    </r>
  </si>
  <si>
    <r>
      <t>3.</t>
    </r>
    <r>
      <rPr>
        <sz val="7"/>
        <color theme="1"/>
        <rFont val="Times New Roman"/>
        <family val="1"/>
      </rPr>
      <t xml:space="preserve">    </t>
    </r>
    <r>
      <rPr>
        <sz val="12"/>
        <color theme="1"/>
        <rFont val="Arial"/>
        <family val="2"/>
      </rPr>
      <t>Excel Calculates Totals</t>
    </r>
  </si>
  <si>
    <r>
      <t>4.</t>
    </r>
    <r>
      <rPr>
        <sz val="7"/>
        <color theme="1"/>
        <rFont val="Times New Roman"/>
        <family val="1"/>
      </rPr>
      <t xml:space="preserve">    </t>
    </r>
    <r>
      <rPr>
        <sz val="12"/>
        <color theme="1"/>
        <rFont val="Arial"/>
        <family val="2"/>
      </rPr>
      <t>Percentage is Generated</t>
    </r>
  </si>
  <si>
    <r>
      <t>5.</t>
    </r>
    <r>
      <rPr>
        <sz val="7"/>
        <color theme="1"/>
        <rFont val="Times New Roman"/>
        <family val="1"/>
      </rPr>
      <t xml:space="preserve">    </t>
    </r>
    <r>
      <rPr>
        <sz val="12"/>
        <color theme="1"/>
        <rFont val="Arial"/>
        <family val="2"/>
      </rPr>
      <t>Grade is Assigned</t>
    </r>
  </si>
  <si>
    <r>
      <t>6.</t>
    </r>
    <r>
      <rPr>
        <sz val="7"/>
        <color theme="1"/>
        <rFont val="Times New Roman"/>
        <family val="1"/>
      </rPr>
      <t xml:space="preserve">    </t>
    </r>
    <r>
      <rPr>
        <sz val="12"/>
        <color theme="1"/>
        <rFont val="Arial"/>
        <family val="2"/>
      </rPr>
      <t>Status is Determined</t>
    </r>
  </si>
  <si>
    <r>
      <t>7.</t>
    </r>
    <r>
      <rPr>
        <sz val="7"/>
        <color theme="1"/>
        <rFont val="Times New Roman"/>
        <family val="1"/>
      </rPr>
      <t xml:space="preserve">    </t>
    </r>
    <r>
      <rPr>
        <sz val="12"/>
        <color theme="1"/>
        <rFont val="Arial"/>
        <family val="2"/>
      </rPr>
      <t>Rank is Calculated</t>
    </r>
  </si>
  <si>
    <r>
      <t>8.</t>
    </r>
    <r>
      <rPr>
        <sz val="7"/>
        <color theme="1"/>
        <rFont val="Times New Roman"/>
        <family val="1"/>
      </rPr>
      <t xml:space="preserve">    </t>
    </r>
    <r>
      <rPr>
        <sz val="12"/>
        <color theme="1"/>
        <rFont val="Arial"/>
        <family val="2"/>
      </rPr>
      <t>Dashboard Updates Automatically</t>
    </r>
  </si>
  <si>
    <t>Advantages</t>
  </si>
  <si>
    <r>
      <t>·</t>
    </r>
    <r>
      <rPr>
        <sz val="7"/>
        <color theme="1"/>
        <rFont val="Times New Roman"/>
        <family val="1"/>
      </rPr>
      <t xml:space="preserve">         </t>
    </r>
    <r>
      <rPr>
        <sz val="12"/>
        <color theme="1"/>
        <rFont val="Arial"/>
        <family val="2"/>
      </rPr>
      <t>Easy to use</t>
    </r>
  </si>
  <si>
    <r>
      <t>·</t>
    </r>
    <r>
      <rPr>
        <sz val="7"/>
        <color theme="1"/>
        <rFont val="Times New Roman"/>
        <family val="1"/>
      </rPr>
      <t xml:space="preserve">         </t>
    </r>
    <r>
      <rPr>
        <sz val="12"/>
        <color theme="1"/>
        <rFont val="Arial"/>
        <family val="2"/>
      </rPr>
      <t>User-friendly interface</t>
    </r>
  </si>
  <si>
    <r>
      <t>·</t>
    </r>
    <r>
      <rPr>
        <sz val="7"/>
        <color theme="1"/>
        <rFont val="Times New Roman"/>
        <family val="1"/>
      </rPr>
      <t xml:space="preserve">         </t>
    </r>
    <r>
      <rPr>
        <sz val="12"/>
        <color theme="1"/>
        <rFont val="Arial"/>
        <family val="2"/>
      </rPr>
      <t>Automated calculations</t>
    </r>
  </si>
  <si>
    <r>
      <t>·</t>
    </r>
    <r>
      <rPr>
        <sz val="7"/>
        <color theme="1"/>
        <rFont val="Times New Roman"/>
        <family val="1"/>
      </rPr>
      <t xml:space="preserve">         </t>
    </r>
    <r>
      <rPr>
        <sz val="12"/>
        <color theme="1"/>
        <rFont val="Arial"/>
        <family val="2"/>
      </rPr>
      <t>Reduced human errors</t>
    </r>
  </si>
  <si>
    <r>
      <t>·</t>
    </r>
    <r>
      <rPr>
        <sz val="7"/>
        <color theme="1"/>
        <rFont val="Times New Roman"/>
        <family val="1"/>
      </rPr>
      <t xml:space="preserve">         </t>
    </r>
    <r>
      <rPr>
        <sz val="12"/>
        <color theme="1"/>
        <rFont val="Arial"/>
        <family val="2"/>
      </rPr>
      <t>Fast report generation</t>
    </r>
  </si>
  <si>
    <r>
      <t>·</t>
    </r>
    <r>
      <rPr>
        <sz val="7"/>
        <color theme="1"/>
        <rFont val="Times New Roman"/>
        <family val="1"/>
      </rPr>
      <t xml:space="preserve">         </t>
    </r>
    <r>
      <rPr>
        <sz val="12"/>
        <color theme="1"/>
        <rFont val="Arial"/>
        <family val="2"/>
      </rPr>
      <t>Better academic monitoring</t>
    </r>
  </si>
  <si>
    <r>
      <t>·</t>
    </r>
    <r>
      <rPr>
        <sz val="7"/>
        <color theme="1"/>
        <rFont val="Times New Roman"/>
        <family val="1"/>
      </rPr>
      <t xml:space="preserve">         </t>
    </r>
    <r>
      <rPr>
        <sz val="12"/>
        <color theme="1"/>
        <rFont val="Arial"/>
        <family val="2"/>
      </rPr>
      <t>Efficient record management</t>
    </r>
  </si>
  <si>
    <r>
      <t>·</t>
    </r>
    <r>
      <rPr>
        <sz val="7"/>
        <color theme="1"/>
        <rFont val="Times New Roman"/>
        <family val="1"/>
      </rPr>
      <t xml:space="preserve">         </t>
    </r>
    <r>
      <rPr>
        <sz val="12"/>
        <color theme="1"/>
        <rFont val="Arial"/>
        <family val="2"/>
      </rPr>
      <t>Real-time analysis</t>
    </r>
  </si>
  <si>
    <r>
      <t>·</t>
    </r>
    <r>
      <rPr>
        <sz val="7"/>
        <color theme="1"/>
        <rFont val="Times New Roman"/>
        <family val="1"/>
      </rPr>
      <t xml:space="preserve">         </t>
    </r>
    <r>
      <rPr>
        <sz val="12"/>
        <color theme="1"/>
        <rFont val="Arial"/>
        <family val="2"/>
      </rPr>
      <t>No online database co</t>
    </r>
  </si>
  <si>
    <t>·</t>
  </si>
  <si>
    <t>Future Enhancements</t>
  </si>
  <si>
    <t>The system can be upgraded by adding:</t>
  </si>
  <si>
    <r>
      <t>·</t>
    </r>
    <r>
      <rPr>
        <sz val="7"/>
        <color theme="1"/>
        <rFont val="Times New Roman"/>
        <family val="1"/>
      </rPr>
      <t xml:space="preserve">         </t>
    </r>
    <r>
      <rPr>
        <sz val="12"/>
        <color theme="1"/>
        <rFont val="Arial"/>
        <family val="2"/>
      </rPr>
      <t>VBA Automation</t>
    </r>
  </si>
  <si>
    <r>
      <t>·</t>
    </r>
    <r>
      <rPr>
        <sz val="7"/>
        <color theme="1"/>
        <rFont val="Times New Roman"/>
        <family val="1"/>
      </rPr>
      <t xml:space="preserve">         </t>
    </r>
    <r>
      <rPr>
        <sz val="12"/>
        <color theme="1"/>
        <rFont val="Arial"/>
        <family val="2"/>
      </rPr>
      <t>Student Login System</t>
    </r>
  </si>
  <si>
    <r>
      <t>·</t>
    </r>
    <r>
      <rPr>
        <sz val="7"/>
        <color theme="1"/>
        <rFont val="Times New Roman"/>
        <family val="1"/>
      </rPr>
      <t xml:space="preserve">         </t>
    </r>
    <r>
      <rPr>
        <sz val="12"/>
        <color theme="1"/>
        <rFont val="Arial"/>
        <family val="2"/>
      </rPr>
      <t>Teacher Dashboard</t>
    </r>
  </si>
  <si>
    <r>
      <t>·</t>
    </r>
    <r>
      <rPr>
        <sz val="7"/>
        <color theme="1"/>
        <rFont val="Times New Roman"/>
        <family val="1"/>
      </rPr>
      <t xml:space="preserve">         </t>
    </r>
    <r>
      <rPr>
        <sz val="12"/>
        <color theme="1"/>
        <rFont val="Arial"/>
        <family val="2"/>
      </rPr>
      <t>Report Card Printing</t>
    </r>
  </si>
  <si>
    <r>
      <t>·</t>
    </r>
    <r>
      <rPr>
        <sz val="7"/>
        <color theme="1"/>
        <rFont val="Times New Roman"/>
        <family val="1"/>
      </rPr>
      <t xml:space="preserve">         </t>
    </r>
    <r>
      <rPr>
        <sz val="12"/>
        <color theme="1"/>
        <rFont val="Arial"/>
        <family val="2"/>
      </rPr>
      <t>GPA/CGPA Calculation</t>
    </r>
  </si>
  <si>
    <r>
      <t>·</t>
    </r>
    <r>
      <rPr>
        <sz val="7"/>
        <color theme="1"/>
        <rFont val="Times New Roman"/>
        <family val="1"/>
      </rPr>
      <t xml:space="preserve">         </t>
    </r>
    <r>
      <rPr>
        <sz val="12"/>
        <color theme="1"/>
        <rFont val="Arial"/>
        <family val="2"/>
      </rPr>
      <t>Online Database Integration</t>
    </r>
  </si>
  <si>
    <r>
      <t>·</t>
    </r>
    <r>
      <rPr>
        <sz val="7"/>
        <color theme="1"/>
        <rFont val="Times New Roman"/>
        <family val="1"/>
      </rPr>
      <t xml:space="preserve">         </t>
    </r>
    <r>
      <rPr>
        <sz val="12"/>
        <color theme="1"/>
        <rFont val="Arial"/>
        <family val="2"/>
      </rPr>
      <t>Attendance Tracking via Forms</t>
    </r>
  </si>
  <si>
    <r>
      <t>·</t>
    </r>
    <r>
      <rPr>
        <sz val="7"/>
        <color theme="1"/>
        <rFont val="Times New Roman"/>
        <family val="1"/>
      </rPr>
      <t xml:space="preserve">         </t>
    </r>
    <r>
      <rPr>
        <sz val="12"/>
        <color theme="1"/>
        <rFont val="Arial"/>
        <family val="2"/>
      </rPr>
      <t>Automated Notifications</t>
    </r>
  </si>
  <si>
    <r>
      <t>·</t>
    </r>
    <r>
      <rPr>
        <sz val="7"/>
        <color theme="1"/>
        <rFont val="Times New Roman"/>
        <family val="1"/>
      </rPr>
      <t xml:space="preserve">         </t>
    </r>
    <r>
      <rPr>
        <sz val="12"/>
        <color theme="1"/>
        <rFont val="Arial"/>
        <family val="2"/>
      </rPr>
      <t>Cloud Storage Support</t>
    </r>
  </si>
  <si>
    <t>Conclusion</t>
  </si>
  <si>
    <t>The Advanced Student Grade Management System successfully automates the management of student academic records using Microsoft Excel. The system provides accurate calculations, efficient reporting, attendance management, and performance analysis through dashboards and charts. It reduces workload, improves data accuracy, and assists educational institutions in monitoring student progress effectively.</t>
  </si>
  <si>
    <t>The project demonstrates how spreadsheet technology can be utilized to create a powerful and practical academic management solution.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</si>
</sst>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4"/>
      <name val="Calibri"/>
    </font>
    <font>
      <b/>
      <sz val="22"/>
      <color theme="1"/>
      <name val="Aharoni"/>
      <charset val="177"/>
    </font>
    <font>
      <b/>
      <sz val="12"/>
      <name val="Calibri"/>
      <family val="2"/>
    </font>
    <font>
      <sz val="20"/>
      <color rgb="FF0F4761"/>
      <name val="Arial"/>
      <family val="2"/>
    </font>
    <font>
      <sz val="16"/>
      <color rgb="FF0F4761"/>
      <name val="Arial"/>
      <family val="2"/>
    </font>
    <font>
      <sz val="14"/>
      <color rgb="FF0F4761"/>
      <name val="Arial"/>
      <family val="2"/>
    </font>
    <font>
      <sz val="12"/>
      <color theme="1"/>
      <name val="Arial"/>
      <family val="2"/>
    </font>
    <font>
      <b/>
      <sz val="12"/>
      <color theme="1"/>
      <name val="Arial"/>
      <family val="2"/>
    </font>
    <font>
      <sz val="12"/>
      <color theme="1"/>
      <name val="Symbol"/>
      <family val="1"/>
      <charset val="2"/>
    </font>
    <font>
      <sz val="7"/>
      <color theme="1"/>
      <name val="Times New Roman"/>
      <family val="1"/>
    </font>
  </fonts>
  <fills count="5">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horizontal="center"/>
    </xf>
    <xf numFmtId="0" fontId="0" fillId="2" borderId="0" xfId="0" applyFill="1" applyAlignment="1">
      <alignment horizontal="center"/>
    </xf>
    <xf numFmtId="0" fontId="2" fillId="2" borderId="0" xfId="0" applyFont="1" applyFill="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1" xfId="0" applyBorder="1" applyAlignment="1">
      <alignment horizontal="center"/>
    </xf>
    <xf numFmtId="0" fontId="0" fillId="4" borderId="1" xfId="0" applyFill="1" applyBorder="1" applyAlignment="1">
      <alignment horizont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9" fillId="0" borderId="0" xfId="0" applyFont="1" applyAlignment="1">
      <alignment horizontal="left" vertical="center" indent="5"/>
    </xf>
    <xf numFmtId="0" fontId="7" fillId="0" borderId="0" xfId="0" applyFont="1" applyAlignment="1">
      <alignment horizontal="left" vertical="center" indent="5"/>
    </xf>
    <xf numFmtId="0" fontId="7" fillId="0" borderId="2" xfId="0" applyFont="1" applyBorder="1" applyAlignment="1">
      <alignment vertical="center" wrapText="1"/>
    </xf>
    <xf numFmtId="0" fontId="7" fillId="0" borderId="0" xfId="0" applyFont="1" applyAlignment="1">
      <alignment vertical="center" wrapText="1"/>
    </xf>
    <xf numFmtId="0" fontId="9" fillId="0" borderId="0" xfId="0" applyFont="1" applyAlignment="1">
      <alignment horizontal="center" vertical="center"/>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1"/>
  <c:style val="2"/>
  <c:chart>
    <c:title>
      <c:tx>
        <c:rich>
          <a:bodyPr/>
          <a:lstStyle/>
          <a:p>
            <a:pPr>
              <a:defRPr/>
            </a:pPr>
            <a:r>
              <a:rPr lang="en-AU"/>
              <a:t>Subject Average Marks</a:t>
            </a:r>
          </a:p>
        </c:rich>
      </c:tx>
      <c:layout/>
      <c:overlay val="1"/>
    </c:title>
    <c:autoTitleDeleted val="0"/>
    <c:plotArea>
      <c:layout/>
      <c:barChart>
        <c:barDir val="col"/>
        <c:grouping val="clustered"/>
        <c:varyColors val="1"/>
        <c:ser>
          <c:idx val="0"/>
          <c:order val="0"/>
          <c:tx>
            <c:strRef>
              <c:f>Dashboard!$E$1</c:f>
              <c:strCache>
                <c:ptCount val="1"/>
                <c:pt idx="0">
                  <c:v>Average</c:v>
                </c:pt>
              </c:strCache>
            </c:strRef>
          </c:tx>
          <c:spPr>
            <a:ln>
              <a:prstDash val="solid"/>
            </a:ln>
          </c:spPr>
          <c:invertIfNegative val="1"/>
          <c:cat>
            <c:strRef>
              <c:f>Dashboard!$D$2:$D$11</c:f>
              <c:strCache>
                <c:ptCount val="10"/>
                <c:pt idx="0">
                  <c:v>English</c:v>
                </c:pt>
                <c:pt idx="1">
                  <c:v>Math</c:v>
                </c:pt>
                <c:pt idx="2">
                  <c:v>Physics</c:v>
                </c:pt>
                <c:pt idx="3">
                  <c:v>Chemistry</c:v>
                </c:pt>
                <c:pt idx="4">
                  <c:v>Biology</c:v>
                </c:pt>
                <c:pt idx="5">
                  <c:v>Computer</c:v>
                </c:pt>
                <c:pt idx="6">
                  <c:v>Urdu</c:v>
                </c:pt>
                <c:pt idx="7">
                  <c:v>Islamiat</c:v>
                </c:pt>
                <c:pt idx="8">
                  <c:v>Statistics</c:v>
                </c:pt>
                <c:pt idx="9">
                  <c:v>Economics</c:v>
                </c:pt>
              </c:strCache>
            </c:strRef>
          </c:cat>
          <c:val>
            <c:numRef>
              <c:f>Dashboard!$E$2:$E$11</c:f>
              <c:numCache>
                <c:formatCode>General</c:formatCode>
                <c:ptCount val="10"/>
                <c:pt idx="0">
                  <c:v>72.44</c:v>
                </c:pt>
                <c:pt idx="1">
                  <c:v>74.680000000000007</c:v>
                </c:pt>
                <c:pt idx="2">
                  <c:v>73.959999999999994</c:v>
                </c:pt>
                <c:pt idx="3">
                  <c:v>73.7</c:v>
                </c:pt>
                <c:pt idx="4">
                  <c:v>73.459999999999994</c:v>
                </c:pt>
                <c:pt idx="5">
                  <c:v>74.260000000000005</c:v>
                </c:pt>
                <c:pt idx="6">
                  <c:v>73.3</c:v>
                </c:pt>
                <c:pt idx="7">
                  <c:v>74.28</c:v>
                </c:pt>
                <c:pt idx="8">
                  <c:v>72.84</c:v>
                </c:pt>
                <c:pt idx="9">
                  <c:v>73.7</c:v>
                </c:pt>
              </c:numCache>
            </c:numRef>
          </c:val>
        </c:ser>
        <c:dLbls>
          <c:showLegendKey val="0"/>
          <c:showVal val="0"/>
          <c:showCatName val="0"/>
          <c:showSerName val="0"/>
          <c:showPercent val="0"/>
          <c:showBubbleSize val="0"/>
        </c:dLbls>
        <c:gapWidth val="150"/>
        <c:axId val="85217664"/>
        <c:axId val="85219200"/>
      </c:barChart>
      <c:catAx>
        <c:axId val="85217664"/>
        <c:scaling>
          <c:orientation val="minMax"/>
        </c:scaling>
        <c:delete val="1"/>
        <c:axPos val="b"/>
        <c:majorTickMark val="none"/>
        <c:minorTickMark val="none"/>
        <c:tickLblPos val="nextTo"/>
        <c:crossAx val="85219200"/>
        <c:crosses val="autoZero"/>
        <c:auto val="1"/>
        <c:lblAlgn val="ctr"/>
        <c:lblOffset val="100"/>
        <c:noMultiLvlLbl val="1"/>
      </c:catAx>
      <c:valAx>
        <c:axId val="85219200"/>
        <c:scaling>
          <c:orientation val="minMax"/>
        </c:scaling>
        <c:delete val="1"/>
        <c:axPos val="l"/>
        <c:majorGridlines/>
        <c:numFmt formatCode="General" sourceLinked="1"/>
        <c:majorTickMark val="none"/>
        <c:minorTickMark val="none"/>
        <c:tickLblPos val="nextTo"/>
        <c:crossAx val="85217664"/>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hira excel.xlsx]Filtering Data!PivotTable1</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col"/>
        <c:grouping val="stacked"/>
        <c:varyColors val="0"/>
        <c:ser>
          <c:idx val="0"/>
          <c:order val="0"/>
          <c:tx>
            <c:strRef>
              <c:f>'Filtering Data'!$B$3</c:f>
              <c:strCache>
                <c:ptCount val="1"/>
                <c:pt idx="0">
                  <c:v>Sum of Total</c:v>
                </c:pt>
              </c:strCache>
            </c:strRef>
          </c:tx>
          <c:invertIfNegative val="0"/>
          <c:cat>
            <c:multiLvlStrRef>
              <c:f>'Filtering Data'!$A$4:$A$8</c:f>
              <c:multiLvlStrCache>
                <c:ptCount val="2"/>
                <c:lvl>
                  <c:pt idx="0">
                    <c:v>Pass</c:v>
                  </c:pt>
                </c:lvl>
                <c:lvl>
                  <c:pt idx="0">
                    <c:v>B</c:v>
                  </c:pt>
                </c:lvl>
                <c:lvl>
                  <c:pt idx="0">
                    <c:v>Aiza Nabeel</c:v>
                  </c:pt>
                  <c:pt idx="1">
                    <c:v>Dua Fatima</c:v>
                  </c:pt>
                </c:lvl>
              </c:multiLvlStrCache>
            </c:multiLvlStrRef>
          </c:cat>
          <c:val>
            <c:numRef>
              <c:f>'Filtering Data'!$B$4:$B$8</c:f>
              <c:numCache>
                <c:formatCode>General</c:formatCode>
                <c:ptCount val="2"/>
                <c:pt idx="0">
                  <c:v>770</c:v>
                </c:pt>
                <c:pt idx="1">
                  <c:v>791</c:v>
                </c:pt>
              </c:numCache>
            </c:numRef>
          </c:val>
        </c:ser>
        <c:ser>
          <c:idx val="1"/>
          <c:order val="1"/>
          <c:tx>
            <c:strRef>
              <c:f>'Filtering Data'!$C$3</c:f>
              <c:strCache>
                <c:ptCount val="1"/>
                <c:pt idx="0">
                  <c:v>Sum of Percentage</c:v>
                </c:pt>
              </c:strCache>
            </c:strRef>
          </c:tx>
          <c:invertIfNegative val="0"/>
          <c:cat>
            <c:multiLvlStrRef>
              <c:f>'Filtering Data'!$A$4:$A$8</c:f>
              <c:multiLvlStrCache>
                <c:ptCount val="2"/>
                <c:lvl>
                  <c:pt idx="0">
                    <c:v>Pass</c:v>
                  </c:pt>
                </c:lvl>
                <c:lvl>
                  <c:pt idx="0">
                    <c:v>B</c:v>
                  </c:pt>
                </c:lvl>
                <c:lvl>
                  <c:pt idx="0">
                    <c:v>Aiza Nabeel</c:v>
                  </c:pt>
                  <c:pt idx="1">
                    <c:v>Dua Fatima</c:v>
                  </c:pt>
                </c:lvl>
              </c:multiLvlStrCache>
            </c:multiLvlStrRef>
          </c:cat>
          <c:val>
            <c:numRef>
              <c:f>'Filtering Data'!$C$4:$C$8</c:f>
              <c:numCache>
                <c:formatCode>General</c:formatCode>
                <c:ptCount val="2"/>
                <c:pt idx="0">
                  <c:v>77</c:v>
                </c:pt>
                <c:pt idx="1">
                  <c:v>79.100000000000009</c:v>
                </c:pt>
              </c:numCache>
            </c:numRef>
          </c:val>
        </c:ser>
        <c:ser>
          <c:idx val="2"/>
          <c:order val="2"/>
          <c:tx>
            <c:strRef>
              <c:f>'Filtering Data'!$D$3</c:f>
              <c:strCache>
                <c:ptCount val="1"/>
                <c:pt idx="0">
                  <c:v>Sum of Rank</c:v>
                </c:pt>
              </c:strCache>
            </c:strRef>
          </c:tx>
          <c:invertIfNegative val="0"/>
          <c:cat>
            <c:multiLvlStrRef>
              <c:f>'Filtering Data'!$A$4:$A$8</c:f>
              <c:multiLvlStrCache>
                <c:ptCount val="2"/>
                <c:lvl>
                  <c:pt idx="0">
                    <c:v>Pass</c:v>
                  </c:pt>
                </c:lvl>
                <c:lvl>
                  <c:pt idx="0">
                    <c:v>B</c:v>
                  </c:pt>
                </c:lvl>
                <c:lvl>
                  <c:pt idx="0">
                    <c:v>Aiza Nabeel</c:v>
                  </c:pt>
                  <c:pt idx="1">
                    <c:v>Dua Fatima</c:v>
                  </c:pt>
                </c:lvl>
              </c:multiLvlStrCache>
            </c:multiLvlStrRef>
          </c:cat>
          <c:val>
            <c:numRef>
              <c:f>'Filtering Data'!$D$4:$D$8</c:f>
              <c:numCache>
                <c:formatCode>General</c:formatCode>
                <c:ptCount val="2"/>
                <c:pt idx="0">
                  <c:v>16</c:v>
                </c:pt>
                <c:pt idx="1">
                  <c:v>7</c:v>
                </c:pt>
              </c:numCache>
            </c:numRef>
          </c:val>
        </c:ser>
        <c:ser>
          <c:idx val="3"/>
          <c:order val="3"/>
          <c:tx>
            <c:strRef>
              <c:f>'Filtering Data'!$E$3</c:f>
              <c:strCache>
                <c:ptCount val="1"/>
                <c:pt idx="0">
                  <c:v>Sum of Attendance %</c:v>
                </c:pt>
              </c:strCache>
            </c:strRef>
          </c:tx>
          <c:invertIfNegative val="0"/>
          <c:cat>
            <c:multiLvlStrRef>
              <c:f>'Filtering Data'!$A$4:$A$8</c:f>
              <c:multiLvlStrCache>
                <c:ptCount val="2"/>
                <c:lvl>
                  <c:pt idx="0">
                    <c:v>Pass</c:v>
                  </c:pt>
                </c:lvl>
                <c:lvl>
                  <c:pt idx="0">
                    <c:v>B</c:v>
                  </c:pt>
                </c:lvl>
                <c:lvl>
                  <c:pt idx="0">
                    <c:v>Aiza Nabeel</c:v>
                  </c:pt>
                  <c:pt idx="1">
                    <c:v>Dua Fatima</c:v>
                  </c:pt>
                </c:lvl>
              </c:multiLvlStrCache>
            </c:multiLvlStrRef>
          </c:cat>
          <c:val>
            <c:numRef>
              <c:f>'Filtering Data'!$E$4:$E$8</c:f>
              <c:numCache>
                <c:formatCode>General</c:formatCode>
                <c:ptCount val="2"/>
                <c:pt idx="0">
                  <c:v>87</c:v>
                </c:pt>
                <c:pt idx="1">
                  <c:v>90</c:v>
                </c:pt>
              </c:numCache>
            </c:numRef>
          </c:val>
        </c:ser>
        <c:dLbls>
          <c:showLegendKey val="0"/>
          <c:showVal val="0"/>
          <c:showCatName val="0"/>
          <c:showSerName val="0"/>
          <c:showPercent val="0"/>
          <c:showBubbleSize val="0"/>
        </c:dLbls>
        <c:gapWidth val="150"/>
        <c:overlap val="100"/>
        <c:axId val="62793600"/>
        <c:axId val="94881280"/>
      </c:barChart>
      <c:catAx>
        <c:axId val="62793600"/>
        <c:scaling>
          <c:orientation val="minMax"/>
        </c:scaling>
        <c:delete val="0"/>
        <c:axPos val="b"/>
        <c:majorTickMark val="out"/>
        <c:minorTickMark val="none"/>
        <c:tickLblPos val="nextTo"/>
        <c:crossAx val="94881280"/>
        <c:crosses val="autoZero"/>
        <c:auto val="1"/>
        <c:lblAlgn val="ctr"/>
        <c:lblOffset val="100"/>
        <c:noMultiLvlLbl val="0"/>
      </c:catAx>
      <c:valAx>
        <c:axId val="94881280"/>
        <c:scaling>
          <c:orientation val="minMax"/>
        </c:scaling>
        <c:delete val="0"/>
        <c:axPos val="l"/>
        <c:majorGridlines/>
        <c:numFmt formatCode="General" sourceLinked="1"/>
        <c:majorTickMark val="out"/>
        <c:minorTickMark val="none"/>
        <c:tickLblPos val="nextTo"/>
        <c:crossAx val="6279360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0</xdr:colOff>
      <xdr:row>1</xdr:row>
      <xdr:rowOff>0</xdr:rowOff>
    </xdr:from>
    <xdr:ext cx="5400000" cy="270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5</xdr:col>
      <xdr:colOff>219075</xdr:colOff>
      <xdr:row>1</xdr:row>
      <xdr:rowOff>9525</xdr:rowOff>
    </xdr:from>
    <xdr:to>
      <xdr:col>11</xdr:col>
      <xdr:colOff>581025</xdr:colOff>
      <xdr:row>15</xdr:row>
      <xdr:rowOff>85725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112</xdr:row>
      <xdr:rowOff>0</xdr:rowOff>
    </xdr:from>
    <xdr:to>
      <xdr:col>0</xdr:col>
      <xdr:colOff>123825</xdr:colOff>
      <xdr:row>113</xdr:row>
      <xdr:rowOff>104775</xdr:rowOff>
    </xdr:to>
    <xdr:pic>
      <xdr:nvPicPr>
        <xdr:cNvPr id="5" name="Picture 4"/>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3545800"/>
          <a:ext cx="1238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dvanced_Student_Grade_Management_System.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arhan khan" refreshedDate="46182.449291666664" createdVersion="4" refreshedVersion="4" minRefreshableVersion="3" recordCount="50">
  <cacheSource type="worksheet">
    <worksheetSource ref="A10:T60" sheet="Sheet1" r:id="rId2"/>
  </cacheSource>
  <cacheFields count="20">
    <cacheField name="Student ID" numFmtId="0">
      <sharedItems count="5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haredItems>
    </cacheField>
    <cacheField name="Student Name" numFmtId="0">
      <sharedItems count="48">
        <s v="Babar Ali"/>
        <s v="Saba amir"/>
        <s v="Hania shezad"/>
        <s v="Sarim Mustafa"/>
        <s v="Haris Khan"/>
        <s v="Aiza Nabeel"/>
        <s v="Farzan Ahmed"/>
        <s v="Rehan Jawwad"/>
        <s v="Dua Fatima"/>
        <s v="Eshal Kashif"/>
        <s v="Hashir Khan"/>
        <s v="Mehwish Rehan"/>
        <s v="Irsa Fatima"/>
        <s v="Inaya Naveed"/>
        <s v="Zaid Khan"/>
        <s v="Farhan Ali"/>
        <s v="Rubab Hania"/>
        <s v="Najia Khurram"/>
        <s v="Zoha Ali"/>
        <s v="Nida Yasir"/>
        <s v="Samreen Ikram"/>
        <s v="Fahad Jaffer"/>
        <s v="Kinza Ali"/>
        <s v="Sohail Ahmed"/>
        <s v="Iqra Aziz"/>
        <s v="Hina Azhar"/>
        <s v="Najia kKhurran"/>
        <s v="Zulqarnain Hyder"/>
        <s v="Maliha Hamza"/>
        <s v="Faizan Ahmed"/>
        <s v="Hamza Ali"/>
        <s v="Fazal Haq"/>
        <s v="Jawwad Azhar"/>
        <s v="Hamadan Ahmed"/>
        <s v="Humaira Arfeen"/>
        <s v="Uzama Pasha"/>
        <s v="Ali Abbas"/>
        <s v="Muskan Khan"/>
        <s v="Fiza Ali"/>
        <s v="Zain A hmed"/>
        <s v="Talha Khan"/>
        <s v="Umm-e-Urwa"/>
        <s v="Tanzeel Ahmed"/>
        <s v="Furqan Babar"/>
        <s v="Konain Fatima"/>
        <s v="Zakariya Ahmed"/>
        <s v="Zohan khan"/>
        <s v="Kabeer Ahmed"/>
      </sharedItems>
    </cacheField>
    <cacheField name="English" numFmtId="0">
      <sharedItems containsSemiMixedTypes="0" containsString="0" containsNumber="1" containsInteger="1" minValue="50" maxValue="98"/>
    </cacheField>
    <cacheField name="Math" numFmtId="0">
      <sharedItems containsSemiMixedTypes="0" containsString="0" containsNumber="1" containsInteger="1" minValue="50" maxValue="100"/>
    </cacheField>
    <cacheField name="Physics" numFmtId="0">
      <sharedItems containsSemiMixedTypes="0" containsString="0" containsNumber="1" containsInteger="1" minValue="50" maxValue="100"/>
    </cacheField>
    <cacheField name="Chemistry" numFmtId="0">
      <sharedItems containsSemiMixedTypes="0" containsString="0" containsNumber="1" containsInteger="1" minValue="50" maxValue="98"/>
    </cacheField>
    <cacheField name="Biology" numFmtId="0">
      <sharedItems containsSemiMixedTypes="0" containsString="0" containsNumber="1" containsInteger="1" minValue="50" maxValue="100"/>
    </cacheField>
    <cacheField name="Computer" numFmtId="0">
      <sharedItems containsSemiMixedTypes="0" containsString="0" containsNumber="1" containsInteger="1" minValue="50" maxValue="100"/>
    </cacheField>
    <cacheField name="Urdu" numFmtId="0">
      <sharedItems containsSemiMixedTypes="0" containsString="0" containsNumber="1" containsInteger="1" minValue="50" maxValue="98"/>
    </cacheField>
    <cacheField name="Islamiat" numFmtId="0">
      <sharedItems containsSemiMixedTypes="0" containsString="0" containsNumber="1" containsInteger="1" minValue="50" maxValue="100"/>
    </cacheField>
    <cacheField name="Statistics" numFmtId="0">
      <sharedItems containsSemiMixedTypes="0" containsString="0" containsNumber="1" containsInteger="1" minValue="50" maxValue="100"/>
    </cacheField>
    <cacheField name="Economics" numFmtId="0">
      <sharedItems containsSemiMixedTypes="0" containsString="0" containsNumber="1" containsInteger="1" minValue="50" maxValue="98"/>
    </cacheField>
    <cacheField name="Total" numFmtId="0">
      <sharedItems containsSemiMixedTypes="0" containsString="0" containsNumber="1" containsInteger="1" minValue="500" maxValue="935"/>
    </cacheField>
    <cacheField name="Percentage" numFmtId="0">
      <sharedItems containsSemiMixedTypes="0" containsString="0" containsNumber="1" minValue="50" maxValue="93.5"/>
    </cacheField>
    <cacheField name="Grade" numFmtId="0">
      <sharedItems count="5">
        <s v="C"/>
        <s v="B"/>
        <s v="A"/>
        <s v="A+"/>
        <s v="D"/>
      </sharedItems>
    </cacheField>
    <cacheField name="Status" numFmtId="0">
      <sharedItems count="1">
        <s v="Pass"/>
      </sharedItems>
    </cacheField>
    <cacheField name="Rank" numFmtId="0">
      <sharedItems containsSemiMixedTypes="0" containsString="0" containsNumber="1" containsInteger="1" minValue="1" maxValue="50"/>
    </cacheField>
    <cacheField name="Highest" numFmtId="0">
      <sharedItems containsSemiMixedTypes="0" containsString="0" containsNumber="1" containsInteger="1" minValue="50" maxValue="100"/>
    </cacheField>
    <cacheField name="Lowest" numFmtId="0">
      <sharedItems containsSemiMixedTypes="0" containsString="0" containsNumber="1" containsInteger="1" minValue="50" maxValue="89"/>
    </cacheField>
    <cacheField name="Attendance %" numFmtId="0">
      <sharedItems containsSemiMixedTypes="0" containsString="0" containsNumber="1" containsInteger="1" minValue="80"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n v="56"/>
    <n v="58"/>
    <n v="60"/>
    <n v="62"/>
    <n v="64"/>
    <n v="66"/>
    <n v="68"/>
    <n v="70"/>
    <n v="72"/>
    <n v="74"/>
    <n v="650"/>
    <n v="65"/>
    <x v="0"/>
    <x v="0"/>
    <n v="49"/>
    <n v="74"/>
    <n v="56"/>
    <n v="82"/>
  </r>
  <r>
    <x v="1"/>
    <x v="1"/>
    <n v="59"/>
    <n v="62"/>
    <n v="65"/>
    <n v="68"/>
    <n v="71"/>
    <n v="74"/>
    <n v="77"/>
    <n v="80"/>
    <n v="83"/>
    <n v="86"/>
    <n v="725"/>
    <n v="72.5"/>
    <x v="1"/>
    <x v="0"/>
    <n v="39"/>
    <n v="86"/>
    <n v="59"/>
    <n v="83"/>
  </r>
  <r>
    <x v="2"/>
    <x v="2"/>
    <n v="62"/>
    <n v="66"/>
    <n v="70"/>
    <n v="74"/>
    <n v="78"/>
    <n v="82"/>
    <n v="86"/>
    <n v="90"/>
    <n v="94"/>
    <n v="98"/>
    <n v="800"/>
    <n v="80"/>
    <x v="2"/>
    <x v="0"/>
    <n v="4"/>
    <n v="98"/>
    <n v="62"/>
    <n v="84"/>
  </r>
  <r>
    <x v="3"/>
    <x v="3"/>
    <n v="65"/>
    <n v="70"/>
    <n v="75"/>
    <n v="80"/>
    <n v="85"/>
    <n v="90"/>
    <n v="95"/>
    <n v="100"/>
    <n v="54"/>
    <n v="59"/>
    <n v="773"/>
    <n v="77.3"/>
    <x v="1"/>
    <x v="0"/>
    <n v="15"/>
    <n v="100"/>
    <n v="54"/>
    <n v="85"/>
  </r>
  <r>
    <x v="4"/>
    <x v="4"/>
    <n v="68"/>
    <n v="74"/>
    <n v="80"/>
    <n v="86"/>
    <n v="92"/>
    <n v="98"/>
    <n v="53"/>
    <n v="59"/>
    <n v="65"/>
    <n v="71"/>
    <n v="746"/>
    <n v="74.599999999999994"/>
    <x v="1"/>
    <x v="0"/>
    <n v="28"/>
    <n v="98"/>
    <n v="53"/>
    <n v="86"/>
  </r>
  <r>
    <x v="5"/>
    <x v="5"/>
    <n v="71"/>
    <n v="78"/>
    <n v="85"/>
    <n v="92"/>
    <n v="99"/>
    <n v="55"/>
    <n v="62"/>
    <n v="69"/>
    <n v="76"/>
    <n v="83"/>
    <n v="770"/>
    <n v="77"/>
    <x v="1"/>
    <x v="0"/>
    <n v="16"/>
    <n v="99"/>
    <n v="55"/>
    <n v="87"/>
  </r>
  <r>
    <x v="6"/>
    <x v="6"/>
    <n v="74"/>
    <n v="82"/>
    <n v="90"/>
    <n v="98"/>
    <n v="55"/>
    <n v="63"/>
    <n v="71"/>
    <n v="79"/>
    <n v="87"/>
    <n v="95"/>
    <n v="794"/>
    <n v="79.400000000000006"/>
    <x v="1"/>
    <x v="0"/>
    <n v="6"/>
    <n v="98"/>
    <n v="55"/>
    <n v="88"/>
  </r>
  <r>
    <x v="7"/>
    <x v="7"/>
    <n v="77"/>
    <n v="86"/>
    <n v="95"/>
    <n v="53"/>
    <n v="62"/>
    <n v="71"/>
    <n v="80"/>
    <n v="89"/>
    <n v="98"/>
    <n v="56"/>
    <n v="767"/>
    <n v="76.7"/>
    <x v="1"/>
    <x v="0"/>
    <n v="18"/>
    <n v="98"/>
    <n v="53"/>
    <n v="89"/>
  </r>
  <r>
    <x v="8"/>
    <x v="8"/>
    <n v="80"/>
    <n v="90"/>
    <n v="100"/>
    <n v="59"/>
    <n v="69"/>
    <n v="79"/>
    <n v="89"/>
    <n v="99"/>
    <n v="58"/>
    <n v="68"/>
    <n v="791"/>
    <n v="79.100000000000009"/>
    <x v="1"/>
    <x v="0"/>
    <n v="7"/>
    <n v="100"/>
    <n v="58"/>
    <n v="90"/>
  </r>
  <r>
    <x v="9"/>
    <x v="9"/>
    <n v="83"/>
    <n v="94"/>
    <n v="54"/>
    <n v="65"/>
    <n v="76"/>
    <n v="87"/>
    <n v="98"/>
    <n v="58"/>
    <n v="69"/>
    <n v="80"/>
    <n v="764"/>
    <n v="76.400000000000006"/>
    <x v="1"/>
    <x v="0"/>
    <n v="19"/>
    <n v="98"/>
    <n v="54"/>
    <n v="91"/>
  </r>
  <r>
    <x v="10"/>
    <x v="10"/>
    <n v="86"/>
    <n v="98"/>
    <n v="59"/>
    <n v="71"/>
    <n v="83"/>
    <n v="95"/>
    <n v="56"/>
    <n v="68"/>
    <n v="80"/>
    <n v="92"/>
    <n v="788"/>
    <n v="78.8"/>
    <x v="1"/>
    <x v="0"/>
    <n v="8"/>
    <n v="98"/>
    <n v="56"/>
    <n v="92"/>
  </r>
  <r>
    <x v="11"/>
    <x v="11"/>
    <n v="89"/>
    <n v="51"/>
    <n v="64"/>
    <n v="77"/>
    <n v="90"/>
    <n v="52"/>
    <n v="65"/>
    <n v="78"/>
    <n v="91"/>
    <n v="53"/>
    <n v="710"/>
    <n v="71"/>
    <x v="1"/>
    <x v="0"/>
    <n v="44"/>
    <n v="91"/>
    <n v="51"/>
    <n v="93"/>
  </r>
  <r>
    <x v="12"/>
    <x v="12"/>
    <n v="92"/>
    <n v="55"/>
    <n v="69"/>
    <n v="83"/>
    <n v="97"/>
    <n v="60"/>
    <n v="74"/>
    <n v="88"/>
    <n v="51"/>
    <n v="65"/>
    <n v="734"/>
    <n v="73.400000000000006"/>
    <x v="1"/>
    <x v="0"/>
    <n v="35"/>
    <n v="97"/>
    <n v="51"/>
    <n v="94"/>
  </r>
  <r>
    <x v="13"/>
    <x v="13"/>
    <n v="95"/>
    <n v="59"/>
    <n v="74"/>
    <n v="89"/>
    <n v="53"/>
    <n v="68"/>
    <n v="83"/>
    <n v="98"/>
    <n v="62"/>
    <n v="77"/>
    <n v="758"/>
    <n v="75.8"/>
    <x v="1"/>
    <x v="0"/>
    <n v="23"/>
    <n v="98"/>
    <n v="53"/>
    <n v="95"/>
  </r>
  <r>
    <x v="14"/>
    <x v="14"/>
    <n v="98"/>
    <n v="63"/>
    <n v="79"/>
    <n v="95"/>
    <n v="60"/>
    <n v="76"/>
    <n v="92"/>
    <n v="57"/>
    <n v="73"/>
    <n v="89"/>
    <n v="782"/>
    <n v="78.2"/>
    <x v="1"/>
    <x v="0"/>
    <n v="11"/>
    <n v="98"/>
    <n v="57"/>
    <n v="96"/>
  </r>
  <r>
    <x v="15"/>
    <x v="15"/>
    <n v="50"/>
    <n v="67"/>
    <n v="84"/>
    <n v="50"/>
    <n v="67"/>
    <n v="84"/>
    <n v="50"/>
    <n v="67"/>
    <n v="84"/>
    <n v="50"/>
    <n v="653"/>
    <n v="65.3"/>
    <x v="0"/>
    <x v="0"/>
    <n v="47"/>
    <n v="84"/>
    <n v="50"/>
    <n v="97"/>
  </r>
  <r>
    <x v="16"/>
    <x v="16"/>
    <n v="53"/>
    <n v="71"/>
    <n v="89"/>
    <n v="56"/>
    <n v="74"/>
    <n v="92"/>
    <n v="59"/>
    <n v="77"/>
    <n v="95"/>
    <n v="62"/>
    <n v="728"/>
    <n v="72.8"/>
    <x v="1"/>
    <x v="0"/>
    <n v="37"/>
    <n v="95"/>
    <n v="53"/>
    <n v="98"/>
  </r>
  <r>
    <x v="17"/>
    <x v="17"/>
    <n v="56"/>
    <n v="75"/>
    <n v="94"/>
    <n v="62"/>
    <n v="81"/>
    <n v="100"/>
    <n v="68"/>
    <n v="87"/>
    <n v="55"/>
    <n v="74"/>
    <n v="752"/>
    <n v="75.2"/>
    <x v="1"/>
    <x v="0"/>
    <n v="25"/>
    <n v="100"/>
    <n v="55"/>
    <n v="99"/>
  </r>
  <r>
    <x v="18"/>
    <x v="18"/>
    <n v="59"/>
    <n v="79"/>
    <n v="99"/>
    <n v="68"/>
    <n v="88"/>
    <n v="57"/>
    <n v="77"/>
    <n v="97"/>
    <n v="66"/>
    <n v="86"/>
    <n v="776"/>
    <n v="77.600000000000009"/>
    <x v="1"/>
    <x v="0"/>
    <n v="13"/>
    <n v="99"/>
    <n v="57"/>
    <n v="100"/>
  </r>
  <r>
    <x v="19"/>
    <x v="19"/>
    <n v="62"/>
    <n v="83"/>
    <n v="53"/>
    <n v="74"/>
    <n v="95"/>
    <n v="65"/>
    <n v="86"/>
    <n v="56"/>
    <n v="77"/>
    <n v="98"/>
    <n v="749"/>
    <n v="74.900000000000006"/>
    <x v="1"/>
    <x v="0"/>
    <n v="27"/>
    <n v="98"/>
    <n v="53"/>
    <n v="80"/>
  </r>
  <r>
    <x v="20"/>
    <x v="20"/>
    <n v="65"/>
    <n v="87"/>
    <n v="58"/>
    <n v="80"/>
    <n v="51"/>
    <n v="73"/>
    <n v="95"/>
    <n v="66"/>
    <n v="88"/>
    <n v="59"/>
    <n v="722"/>
    <n v="72.2"/>
    <x v="1"/>
    <x v="0"/>
    <n v="40"/>
    <n v="95"/>
    <n v="51"/>
    <n v="81"/>
  </r>
  <r>
    <x v="21"/>
    <x v="21"/>
    <n v="68"/>
    <n v="91"/>
    <n v="63"/>
    <n v="86"/>
    <n v="58"/>
    <n v="81"/>
    <n v="53"/>
    <n v="76"/>
    <n v="99"/>
    <n v="71"/>
    <n v="746"/>
    <n v="74.599999999999994"/>
    <x v="1"/>
    <x v="0"/>
    <n v="28"/>
    <n v="99"/>
    <n v="53"/>
    <n v="82"/>
  </r>
  <r>
    <x v="22"/>
    <x v="22"/>
    <n v="71"/>
    <n v="95"/>
    <n v="68"/>
    <n v="92"/>
    <n v="65"/>
    <n v="89"/>
    <n v="62"/>
    <n v="86"/>
    <n v="59"/>
    <n v="83"/>
    <n v="770"/>
    <n v="77"/>
    <x v="1"/>
    <x v="0"/>
    <n v="16"/>
    <n v="95"/>
    <n v="59"/>
    <n v="83"/>
  </r>
  <r>
    <x v="23"/>
    <x v="23"/>
    <n v="74"/>
    <n v="99"/>
    <n v="73"/>
    <n v="98"/>
    <n v="72"/>
    <n v="97"/>
    <n v="71"/>
    <n v="96"/>
    <n v="70"/>
    <n v="95"/>
    <n v="845"/>
    <n v="84.5"/>
    <x v="2"/>
    <x v="0"/>
    <n v="3"/>
    <n v="99"/>
    <n v="70"/>
    <n v="84"/>
  </r>
  <r>
    <x v="24"/>
    <x v="24"/>
    <n v="77"/>
    <n v="52"/>
    <n v="78"/>
    <n v="53"/>
    <n v="79"/>
    <n v="54"/>
    <n v="80"/>
    <n v="55"/>
    <n v="81"/>
    <n v="56"/>
    <n v="665"/>
    <n v="66.5"/>
    <x v="0"/>
    <x v="0"/>
    <n v="46"/>
    <n v="81"/>
    <n v="52"/>
    <n v="85"/>
  </r>
  <r>
    <x v="25"/>
    <x v="25"/>
    <n v="80"/>
    <n v="56"/>
    <n v="83"/>
    <n v="59"/>
    <n v="86"/>
    <n v="62"/>
    <n v="89"/>
    <n v="65"/>
    <n v="92"/>
    <n v="68"/>
    <n v="740"/>
    <n v="74"/>
    <x v="1"/>
    <x v="0"/>
    <n v="32"/>
    <n v="92"/>
    <n v="56"/>
    <n v="86"/>
  </r>
  <r>
    <x v="26"/>
    <x v="26"/>
    <n v="83"/>
    <n v="60"/>
    <n v="88"/>
    <n v="65"/>
    <n v="93"/>
    <n v="70"/>
    <n v="98"/>
    <n v="75"/>
    <n v="52"/>
    <n v="80"/>
    <n v="764"/>
    <n v="76.400000000000006"/>
    <x v="1"/>
    <x v="0"/>
    <n v="19"/>
    <n v="98"/>
    <n v="52"/>
    <n v="87"/>
  </r>
  <r>
    <x v="27"/>
    <x v="23"/>
    <n v="86"/>
    <n v="64"/>
    <n v="93"/>
    <n v="71"/>
    <n v="100"/>
    <n v="78"/>
    <n v="56"/>
    <n v="85"/>
    <n v="63"/>
    <n v="92"/>
    <n v="788"/>
    <n v="78.8"/>
    <x v="1"/>
    <x v="0"/>
    <n v="8"/>
    <n v="100"/>
    <n v="56"/>
    <n v="88"/>
  </r>
  <r>
    <x v="28"/>
    <x v="0"/>
    <n v="89"/>
    <n v="68"/>
    <n v="98"/>
    <n v="77"/>
    <n v="56"/>
    <n v="86"/>
    <n v="65"/>
    <n v="95"/>
    <n v="74"/>
    <n v="53"/>
    <n v="761"/>
    <n v="76.099999999999994"/>
    <x v="1"/>
    <x v="0"/>
    <n v="22"/>
    <n v="98"/>
    <n v="53"/>
    <n v="89"/>
  </r>
  <r>
    <x v="29"/>
    <x v="27"/>
    <n v="92"/>
    <n v="72"/>
    <n v="52"/>
    <n v="83"/>
    <n v="63"/>
    <n v="94"/>
    <n v="74"/>
    <n v="54"/>
    <n v="85"/>
    <n v="65"/>
    <n v="734"/>
    <n v="73.400000000000006"/>
    <x v="1"/>
    <x v="0"/>
    <n v="35"/>
    <n v="94"/>
    <n v="52"/>
    <n v="90"/>
  </r>
  <r>
    <x v="30"/>
    <x v="28"/>
    <n v="95"/>
    <n v="76"/>
    <n v="57"/>
    <n v="89"/>
    <n v="70"/>
    <n v="51"/>
    <n v="83"/>
    <n v="64"/>
    <n v="96"/>
    <n v="77"/>
    <n v="758"/>
    <n v="75.8"/>
    <x v="1"/>
    <x v="0"/>
    <n v="23"/>
    <n v="96"/>
    <n v="51"/>
    <n v="91"/>
  </r>
  <r>
    <x v="31"/>
    <x v="29"/>
    <n v="98"/>
    <n v="80"/>
    <n v="62"/>
    <n v="95"/>
    <n v="77"/>
    <n v="59"/>
    <n v="92"/>
    <n v="74"/>
    <n v="56"/>
    <n v="89"/>
    <n v="782"/>
    <n v="78.2"/>
    <x v="1"/>
    <x v="0"/>
    <n v="11"/>
    <n v="98"/>
    <n v="56"/>
    <n v="92"/>
  </r>
  <r>
    <x v="32"/>
    <x v="30"/>
    <n v="50"/>
    <n v="84"/>
    <n v="67"/>
    <n v="50"/>
    <n v="84"/>
    <n v="67"/>
    <n v="50"/>
    <n v="84"/>
    <n v="67"/>
    <n v="50"/>
    <n v="653"/>
    <n v="65.3"/>
    <x v="0"/>
    <x v="0"/>
    <n v="47"/>
    <n v="84"/>
    <n v="50"/>
    <n v="93"/>
  </r>
  <r>
    <x v="33"/>
    <x v="31"/>
    <n v="53"/>
    <n v="88"/>
    <n v="72"/>
    <n v="56"/>
    <n v="91"/>
    <n v="75"/>
    <n v="59"/>
    <n v="94"/>
    <n v="78"/>
    <n v="62"/>
    <n v="728"/>
    <n v="72.8"/>
    <x v="1"/>
    <x v="0"/>
    <n v="37"/>
    <n v="94"/>
    <n v="53"/>
    <n v="94"/>
  </r>
  <r>
    <x v="34"/>
    <x v="32"/>
    <n v="56"/>
    <n v="92"/>
    <n v="77"/>
    <n v="62"/>
    <n v="98"/>
    <n v="83"/>
    <n v="68"/>
    <n v="53"/>
    <n v="89"/>
    <n v="74"/>
    <n v="752"/>
    <n v="75.2"/>
    <x v="1"/>
    <x v="0"/>
    <n v="25"/>
    <n v="98"/>
    <n v="53"/>
    <n v="95"/>
  </r>
  <r>
    <x v="35"/>
    <x v="33"/>
    <n v="59"/>
    <n v="96"/>
    <n v="82"/>
    <n v="68"/>
    <n v="54"/>
    <n v="91"/>
    <n v="77"/>
    <n v="63"/>
    <n v="100"/>
    <n v="86"/>
    <n v="776"/>
    <n v="77.600000000000009"/>
    <x v="1"/>
    <x v="0"/>
    <n v="13"/>
    <n v="100"/>
    <n v="54"/>
    <n v="96"/>
  </r>
  <r>
    <x v="36"/>
    <x v="34"/>
    <n v="62"/>
    <n v="100"/>
    <n v="87"/>
    <n v="74"/>
    <n v="61"/>
    <n v="99"/>
    <n v="86"/>
    <n v="73"/>
    <n v="60"/>
    <n v="98"/>
    <n v="800"/>
    <n v="80"/>
    <x v="2"/>
    <x v="0"/>
    <n v="4"/>
    <n v="100"/>
    <n v="60"/>
    <n v="97"/>
  </r>
  <r>
    <x v="37"/>
    <x v="35"/>
    <n v="65"/>
    <n v="53"/>
    <n v="92"/>
    <n v="80"/>
    <n v="68"/>
    <n v="56"/>
    <n v="95"/>
    <n v="83"/>
    <n v="71"/>
    <n v="59"/>
    <n v="722"/>
    <n v="72.2"/>
    <x v="1"/>
    <x v="0"/>
    <n v="40"/>
    <n v="95"/>
    <n v="53"/>
    <n v="98"/>
  </r>
  <r>
    <x v="38"/>
    <x v="36"/>
    <n v="68"/>
    <n v="57"/>
    <n v="97"/>
    <n v="86"/>
    <n v="75"/>
    <n v="64"/>
    <n v="53"/>
    <n v="93"/>
    <n v="82"/>
    <n v="71"/>
    <n v="746"/>
    <n v="74.599999999999994"/>
    <x v="1"/>
    <x v="0"/>
    <n v="28"/>
    <n v="97"/>
    <n v="53"/>
    <n v="99"/>
  </r>
  <r>
    <x v="39"/>
    <x v="37"/>
    <n v="71"/>
    <n v="61"/>
    <n v="51"/>
    <n v="92"/>
    <n v="82"/>
    <n v="72"/>
    <n v="62"/>
    <n v="52"/>
    <n v="93"/>
    <n v="83"/>
    <n v="719"/>
    <n v="71.899999999999991"/>
    <x v="1"/>
    <x v="0"/>
    <n v="42"/>
    <n v="93"/>
    <n v="51"/>
    <n v="100"/>
  </r>
  <r>
    <x v="40"/>
    <x v="38"/>
    <n v="74"/>
    <n v="65"/>
    <n v="56"/>
    <n v="98"/>
    <n v="89"/>
    <n v="80"/>
    <n v="71"/>
    <n v="62"/>
    <n v="53"/>
    <n v="95"/>
    <n v="743"/>
    <n v="74.3"/>
    <x v="1"/>
    <x v="0"/>
    <n v="31"/>
    <n v="98"/>
    <n v="53"/>
    <n v="80"/>
  </r>
  <r>
    <x v="41"/>
    <x v="39"/>
    <n v="77"/>
    <n v="69"/>
    <n v="61"/>
    <n v="53"/>
    <n v="96"/>
    <n v="88"/>
    <n v="80"/>
    <n v="72"/>
    <n v="64"/>
    <n v="56"/>
    <n v="716"/>
    <n v="71.599999999999994"/>
    <x v="1"/>
    <x v="0"/>
    <n v="43"/>
    <n v="96"/>
    <n v="53"/>
    <n v="81"/>
  </r>
  <r>
    <x v="42"/>
    <x v="40"/>
    <n v="80"/>
    <n v="73"/>
    <n v="66"/>
    <n v="59"/>
    <n v="52"/>
    <n v="96"/>
    <n v="89"/>
    <n v="82"/>
    <n v="75"/>
    <n v="68"/>
    <n v="740"/>
    <n v="74"/>
    <x v="1"/>
    <x v="0"/>
    <n v="32"/>
    <n v="96"/>
    <n v="52"/>
    <n v="82"/>
  </r>
  <r>
    <x v="43"/>
    <x v="41"/>
    <n v="83"/>
    <n v="77"/>
    <n v="71"/>
    <n v="65"/>
    <n v="59"/>
    <n v="53"/>
    <n v="98"/>
    <n v="92"/>
    <n v="86"/>
    <n v="80"/>
    <n v="764"/>
    <n v="76.400000000000006"/>
    <x v="1"/>
    <x v="0"/>
    <n v="19"/>
    <n v="98"/>
    <n v="53"/>
    <n v="83"/>
  </r>
  <r>
    <x v="44"/>
    <x v="42"/>
    <n v="86"/>
    <n v="81"/>
    <n v="76"/>
    <n v="71"/>
    <n v="66"/>
    <n v="61"/>
    <n v="56"/>
    <n v="51"/>
    <n v="97"/>
    <n v="92"/>
    <n v="737"/>
    <n v="73.7"/>
    <x v="1"/>
    <x v="0"/>
    <n v="34"/>
    <n v="97"/>
    <n v="51"/>
    <n v="84"/>
  </r>
  <r>
    <x v="45"/>
    <x v="43"/>
    <n v="89"/>
    <n v="85"/>
    <n v="81"/>
    <n v="77"/>
    <n v="73"/>
    <n v="69"/>
    <n v="65"/>
    <n v="61"/>
    <n v="57"/>
    <n v="53"/>
    <n v="710"/>
    <n v="71"/>
    <x v="1"/>
    <x v="0"/>
    <n v="44"/>
    <n v="89"/>
    <n v="53"/>
    <n v="85"/>
  </r>
  <r>
    <x v="46"/>
    <x v="44"/>
    <n v="92"/>
    <n v="89"/>
    <n v="86"/>
    <n v="83"/>
    <n v="80"/>
    <n v="77"/>
    <n v="74"/>
    <n v="71"/>
    <n v="68"/>
    <n v="65"/>
    <n v="785"/>
    <n v="78.5"/>
    <x v="1"/>
    <x v="0"/>
    <n v="10"/>
    <n v="92"/>
    <n v="65"/>
    <n v="86"/>
  </r>
  <r>
    <x v="47"/>
    <x v="45"/>
    <n v="95"/>
    <n v="93"/>
    <n v="91"/>
    <n v="89"/>
    <n v="87"/>
    <n v="85"/>
    <n v="83"/>
    <n v="81"/>
    <n v="79"/>
    <n v="77"/>
    <n v="860"/>
    <n v="86"/>
    <x v="2"/>
    <x v="0"/>
    <n v="2"/>
    <n v="95"/>
    <n v="77"/>
    <n v="87"/>
  </r>
  <r>
    <x v="48"/>
    <x v="46"/>
    <n v="98"/>
    <n v="97"/>
    <n v="96"/>
    <n v="95"/>
    <n v="94"/>
    <n v="93"/>
    <n v="92"/>
    <n v="91"/>
    <n v="90"/>
    <n v="89"/>
    <n v="935"/>
    <n v="93.5"/>
    <x v="3"/>
    <x v="0"/>
    <n v="1"/>
    <n v="98"/>
    <n v="89"/>
    <n v="88"/>
  </r>
  <r>
    <x v="49"/>
    <x v="47"/>
    <n v="50"/>
    <n v="50"/>
    <n v="50"/>
    <n v="50"/>
    <n v="50"/>
    <n v="50"/>
    <n v="50"/>
    <n v="50"/>
    <n v="50"/>
    <n v="50"/>
    <n v="500"/>
    <n v="50"/>
    <x v="4"/>
    <x v="0"/>
    <n v="50"/>
    <n v="50"/>
    <n v="50"/>
    <n v="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E8" firstHeaderRow="0" firstDataRow="1" firstDataCol="1"/>
  <pivotFields count="2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49">
        <item x="5"/>
        <item h="1" x="36"/>
        <item h="1" x="0"/>
        <item sd="0" x="8"/>
        <item h="1" x="9"/>
        <item h="1" x="21"/>
        <item h="1" x="29"/>
        <item h="1" x="15"/>
        <item h="1" x="6"/>
        <item h="1" x="31"/>
        <item h="1" x="38"/>
        <item h="1" x="43"/>
        <item h="1" x="33"/>
        <item h="1" x="30"/>
        <item h="1" x="2"/>
        <item h="1" x="4"/>
        <item h="1" x="10"/>
        <item h="1" x="25"/>
        <item h="1" x="34"/>
        <item h="1" x="13"/>
        <item h="1" x="24"/>
        <item h="1" x="12"/>
        <item h="1" x="32"/>
        <item h="1" x="47"/>
        <item h="1" x="22"/>
        <item h="1" x="44"/>
        <item h="1" x="28"/>
        <item h="1" x="11"/>
        <item h="1" x="37"/>
        <item h="1" x="17"/>
        <item h="1" x="26"/>
        <item h="1" x="19"/>
        <item h="1" x="7"/>
        <item h="1" x="16"/>
        <item h="1" x="1"/>
        <item h="1" x="20"/>
        <item h="1" x="3"/>
        <item h="1" x="23"/>
        <item h="1" x="40"/>
        <item h="1" x="42"/>
        <item h="1" x="41"/>
        <item h="1" x="35"/>
        <item h="1" x="14"/>
        <item h="1" x="39"/>
        <item h="1" x="45"/>
        <item h="1" x="18"/>
        <item h="1" x="46"/>
        <item h="1" x="27"/>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axis="axisRow" showAll="0">
      <items count="6">
        <item x="2"/>
        <item x="3"/>
        <item x="1"/>
        <item x="0"/>
        <item x="4"/>
        <item t="default"/>
      </items>
    </pivotField>
    <pivotField axis="axisRow" showAll="0">
      <items count="2">
        <item x="0"/>
        <item t="default"/>
      </items>
    </pivotField>
    <pivotField dataField="1" showAll="0"/>
    <pivotField showAll="0"/>
    <pivotField showAll="0"/>
    <pivotField dataField="1" showAll="0"/>
  </pivotFields>
  <rowFields count="3">
    <field x="1"/>
    <field x="14"/>
    <field x="15"/>
  </rowFields>
  <rowItems count="5">
    <i>
      <x/>
    </i>
    <i r="1">
      <x v="2"/>
    </i>
    <i r="2">
      <x/>
    </i>
    <i>
      <x v="3"/>
    </i>
    <i t="grand">
      <x/>
    </i>
  </rowItems>
  <colFields count="1">
    <field x="-2"/>
  </colFields>
  <colItems count="4">
    <i>
      <x/>
    </i>
    <i i="1">
      <x v="1"/>
    </i>
    <i i="2">
      <x v="2"/>
    </i>
    <i i="3">
      <x v="3"/>
    </i>
  </colItems>
  <dataFields count="4">
    <dataField name="Sum of Total" fld="12" baseField="0" baseItem="0"/>
    <dataField name="Sum of Percentage" fld="13" baseField="0" baseItem="0"/>
    <dataField name="Sum of Rank" fld="16" baseField="0" baseItem="0"/>
    <dataField name="Sum of Attendance %" fld="19"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2"/>
  <sheetViews>
    <sheetView workbookViewId="0">
      <pane ySplit="1" topLeftCell="A2" activePane="bottomLeft" state="frozen"/>
      <selection pane="bottomLeft" activeCell="U21" sqref="U21"/>
    </sheetView>
  </sheetViews>
  <sheetFormatPr defaultRowHeight="15" x14ac:dyDescent="0.25"/>
  <cols>
    <col min="1" max="1" width="10.85546875" style="2" customWidth="1"/>
    <col min="2" max="2" width="16.7109375" style="2" customWidth="1"/>
    <col min="3" max="3" width="7.85546875" style="2" customWidth="1"/>
    <col min="4" max="4" width="6.28515625" style="2" bestFit="1" customWidth="1"/>
    <col min="5" max="5" width="7.42578125" style="2" bestFit="1" customWidth="1"/>
    <col min="6" max="6" width="10.85546875" style="2" customWidth="1"/>
    <col min="7" max="7" width="7.85546875" style="2" customWidth="1"/>
    <col min="8" max="8" width="10.85546875" style="2" customWidth="1"/>
    <col min="9" max="9" width="6.28515625" style="2" customWidth="1"/>
    <col min="10" max="10" width="8.5703125" style="2" customWidth="1"/>
    <col min="11" max="11" width="10.28515625" style="2" customWidth="1"/>
    <col min="12" max="12" width="11.28515625" style="2" bestFit="1" customWidth="1"/>
    <col min="13" max="13" width="6" style="2" bestFit="1" customWidth="1"/>
    <col min="14" max="14" width="12" style="2" customWidth="1"/>
    <col min="15" max="15" width="7.28515625" style="2" customWidth="1"/>
    <col min="16" max="16" width="7" style="2" customWidth="1"/>
    <col min="17" max="17" width="6" style="2" customWidth="1"/>
    <col min="18" max="18" width="8.28515625" style="2" customWidth="1"/>
    <col min="19" max="19" width="7.85546875" style="2" customWidth="1"/>
    <col min="20" max="20" width="13" style="2" customWidth="1"/>
    <col min="21" max="16384" width="9.140625" style="2"/>
  </cols>
  <sheetData>
    <row r="1" spans="1:20" ht="27.75" x14ac:dyDescent="0.4">
      <c r="C1" s="4" t="s">
        <v>124</v>
      </c>
      <c r="D1" s="3"/>
      <c r="E1" s="3"/>
      <c r="F1" s="3"/>
      <c r="G1" s="3"/>
      <c r="H1" s="3"/>
      <c r="I1" s="3"/>
      <c r="J1" s="3"/>
      <c r="K1" s="3"/>
      <c r="L1" s="3"/>
      <c r="M1" s="3"/>
      <c r="N1" s="3"/>
      <c r="O1" s="3"/>
      <c r="P1" s="3"/>
    </row>
    <row r="2" spans="1:20" ht="15.75" x14ac:dyDescent="0.25">
      <c r="A2" s="5" t="s">
        <v>0</v>
      </c>
      <c r="B2" s="5" t="s">
        <v>1</v>
      </c>
      <c r="C2" s="5" t="s">
        <v>2</v>
      </c>
      <c r="D2" s="5" t="s">
        <v>3</v>
      </c>
      <c r="E2" s="5" t="s">
        <v>4</v>
      </c>
      <c r="F2" s="5" t="s">
        <v>5</v>
      </c>
      <c r="G2" s="5" t="s">
        <v>6</v>
      </c>
      <c r="H2" s="5" t="s">
        <v>7</v>
      </c>
      <c r="I2" s="5" t="s">
        <v>8</v>
      </c>
      <c r="J2" s="5" t="s">
        <v>9</v>
      </c>
      <c r="K2" s="5" t="s">
        <v>10</v>
      </c>
      <c r="L2" s="5" t="s">
        <v>11</v>
      </c>
      <c r="M2" s="5" t="s">
        <v>12</v>
      </c>
      <c r="N2" s="5" t="s">
        <v>13</v>
      </c>
      <c r="O2" s="5" t="s">
        <v>14</v>
      </c>
      <c r="P2" s="5" t="s">
        <v>15</v>
      </c>
      <c r="Q2" s="5" t="s">
        <v>16</v>
      </c>
      <c r="R2" s="5" t="s">
        <v>17</v>
      </c>
      <c r="S2" s="5" t="s">
        <v>18</v>
      </c>
      <c r="T2" s="6" t="s">
        <v>69</v>
      </c>
    </row>
    <row r="3" spans="1:20" x14ac:dyDescent="0.25">
      <c r="A3" s="2" t="s">
        <v>19</v>
      </c>
      <c r="B3" s="2" t="s">
        <v>103</v>
      </c>
      <c r="C3" s="2">
        <v>56</v>
      </c>
      <c r="D3" s="2">
        <v>58</v>
      </c>
      <c r="E3" s="2">
        <v>60</v>
      </c>
      <c r="F3" s="2">
        <v>62</v>
      </c>
      <c r="G3" s="2">
        <v>64</v>
      </c>
      <c r="H3" s="2">
        <v>66</v>
      </c>
      <c r="I3" s="2">
        <v>68</v>
      </c>
      <c r="J3" s="2">
        <v>70</v>
      </c>
      <c r="K3" s="2">
        <v>72</v>
      </c>
      <c r="L3" s="2">
        <v>74</v>
      </c>
      <c r="M3" s="2">
        <f>SUM(C3:L3)</f>
        <v>650</v>
      </c>
      <c r="N3" s="12">
        <f>M3/1000*100</f>
        <v>65</v>
      </c>
      <c r="O3" s="13" t="str">
        <f t="shared" ref="O3:O34" si="0">IF(N3&gt;=90,"A+",IF(N3&gt;=80,"A",IF(N3&gt;=70,"B",IF(N3&gt;=60,"C",IF(N3&gt;=50,"D","F")))))</f>
        <v>C</v>
      </c>
      <c r="P3" s="2" t="str">
        <f t="shared" ref="P3:P34" si="1">IF(N3&gt;=50,"Pass","Fail")</f>
        <v>Pass</v>
      </c>
      <c r="Q3" s="2">
        <f t="shared" ref="Q3:Q34" si="2">RANK(M3,$M$3:$M$52,0)</f>
        <v>46</v>
      </c>
      <c r="R3" s="2">
        <f>MAX(C3:L3)</f>
        <v>74</v>
      </c>
      <c r="S3" s="2">
        <f>MIN(C3:L3)</f>
        <v>56</v>
      </c>
      <c r="T3" s="2">
        <v>82</v>
      </c>
    </row>
    <row r="4" spans="1:20" x14ac:dyDescent="0.25">
      <c r="A4" s="2" t="s">
        <v>20</v>
      </c>
      <c r="B4" s="2" t="s">
        <v>77</v>
      </c>
      <c r="C4" s="2">
        <v>59</v>
      </c>
      <c r="D4" s="2">
        <v>62</v>
      </c>
      <c r="E4" s="2">
        <v>65</v>
      </c>
      <c r="F4" s="2">
        <v>68</v>
      </c>
      <c r="G4" s="2">
        <v>71</v>
      </c>
      <c r="H4" s="2">
        <v>74</v>
      </c>
      <c r="I4" s="2">
        <v>77</v>
      </c>
      <c r="J4" s="2">
        <v>80</v>
      </c>
      <c r="K4" s="2">
        <v>83</v>
      </c>
      <c r="L4" s="2">
        <v>86</v>
      </c>
      <c r="M4" s="2">
        <f>SUM(C4:L4)</f>
        <v>725</v>
      </c>
      <c r="N4" s="12">
        <f t="shared" ref="N3:N34" si="3">M4/1000*100</f>
        <v>72.5</v>
      </c>
      <c r="O4" s="13" t="str">
        <f t="shared" si="0"/>
        <v>B</v>
      </c>
      <c r="P4" s="2" t="str">
        <f t="shared" si="1"/>
        <v>Pass</v>
      </c>
      <c r="Q4" s="2">
        <f t="shared" si="2"/>
        <v>39</v>
      </c>
      <c r="R4" s="2">
        <f>MAX(C4:L4)</f>
        <v>86</v>
      </c>
      <c r="S4" s="2">
        <f>MIN(C4:L4)</f>
        <v>59</v>
      </c>
      <c r="T4" s="2">
        <v>83</v>
      </c>
    </row>
    <row r="5" spans="1:20" x14ac:dyDescent="0.25">
      <c r="A5" s="2" t="s">
        <v>21</v>
      </c>
      <c r="B5" s="2" t="s">
        <v>78</v>
      </c>
      <c r="C5" s="2">
        <v>62</v>
      </c>
      <c r="D5" s="2">
        <v>66</v>
      </c>
      <c r="E5" s="2">
        <v>70</v>
      </c>
      <c r="F5" s="2">
        <v>74</v>
      </c>
      <c r="G5" s="2">
        <v>78</v>
      </c>
      <c r="H5" s="2">
        <v>82</v>
      </c>
      <c r="I5" s="2">
        <v>86</v>
      </c>
      <c r="J5" s="2">
        <v>90</v>
      </c>
      <c r="K5" s="2">
        <v>94</v>
      </c>
      <c r="L5" s="2">
        <v>98</v>
      </c>
      <c r="M5" s="2">
        <f>SUM(C5:L5)</f>
        <v>800</v>
      </c>
      <c r="N5" s="12">
        <f t="shared" si="3"/>
        <v>80</v>
      </c>
      <c r="O5" s="13" t="str">
        <f t="shared" si="0"/>
        <v>A</v>
      </c>
      <c r="P5" s="2" t="str">
        <f t="shared" si="1"/>
        <v>Pass</v>
      </c>
      <c r="Q5" s="2">
        <f t="shared" si="2"/>
        <v>4</v>
      </c>
      <c r="R5" s="2">
        <f>MAX(C5:L5)</f>
        <v>98</v>
      </c>
      <c r="S5" s="2">
        <f>MIN(C5:L5)</f>
        <v>62</v>
      </c>
      <c r="T5" s="2">
        <v>84</v>
      </c>
    </row>
    <row r="6" spans="1:20" x14ac:dyDescent="0.25">
      <c r="A6" s="2" t="s">
        <v>22</v>
      </c>
      <c r="B6" s="2" t="s">
        <v>79</v>
      </c>
      <c r="C6" s="2">
        <v>65</v>
      </c>
      <c r="D6" s="2">
        <v>70</v>
      </c>
      <c r="E6" s="2">
        <v>75</v>
      </c>
      <c r="F6" s="2">
        <v>80</v>
      </c>
      <c r="G6" s="2">
        <v>85</v>
      </c>
      <c r="H6" s="2">
        <v>90</v>
      </c>
      <c r="I6" s="2">
        <v>95</v>
      </c>
      <c r="J6" s="2">
        <v>100</v>
      </c>
      <c r="K6" s="2">
        <v>54</v>
      </c>
      <c r="L6" s="2">
        <v>59</v>
      </c>
      <c r="M6" s="2">
        <f>SUM(C6:L6)</f>
        <v>773</v>
      </c>
      <c r="N6" s="12">
        <f t="shared" si="3"/>
        <v>77.3</v>
      </c>
      <c r="O6" s="13" t="str">
        <f t="shared" si="0"/>
        <v>B</v>
      </c>
      <c r="P6" s="2" t="str">
        <f t="shared" si="1"/>
        <v>Pass</v>
      </c>
      <c r="Q6" s="2">
        <f t="shared" si="2"/>
        <v>15</v>
      </c>
      <c r="R6" s="2">
        <f>MAX(C6:L6)</f>
        <v>100</v>
      </c>
      <c r="S6" s="2">
        <f>MIN(C6:L6)</f>
        <v>54</v>
      </c>
      <c r="T6" s="2">
        <v>85</v>
      </c>
    </row>
    <row r="7" spans="1:20" x14ac:dyDescent="0.25">
      <c r="A7" s="2" t="s">
        <v>23</v>
      </c>
      <c r="B7" s="2" t="s">
        <v>80</v>
      </c>
      <c r="C7" s="2">
        <v>68</v>
      </c>
      <c r="D7" s="2">
        <v>74</v>
      </c>
      <c r="E7" s="2">
        <v>80</v>
      </c>
      <c r="F7" s="2">
        <v>86</v>
      </c>
      <c r="G7" s="2">
        <v>92</v>
      </c>
      <c r="H7" s="2">
        <v>98</v>
      </c>
      <c r="I7" s="2">
        <v>53</v>
      </c>
      <c r="J7" s="2">
        <v>59</v>
      </c>
      <c r="K7" s="2">
        <v>65</v>
      </c>
      <c r="L7" s="2">
        <v>71</v>
      </c>
      <c r="M7" s="2">
        <f>SUM(C7:L7)</f>
        <v>746</v>
      </c>
      <c r="N7" s="12">
        <f t="shared" si="3"/>
        <v>74.599999999999994</v>
      </c>
      <c r="O7" s="13" t="str">
        <f t="shared" si="0"/>
        <v>B</v>
      </c>
      <c r="P7" s="2" t="str">
        <f t="shared" si="1"/>
        <v>Pass</v>
      </c>
      <c r="Q7" s="2">
        <f t="shared" si="2"/>
        <v>28</v>
      </c>
      <c r="R7" s="2">
        <f>MAX(C7:L7)</f>
        <v>98</v>
      </c>
      <c r="S7" s="2">
        <f>MIN(C7:L7)</f>
        <v>53</v>
      </c>
      <c r="T7" s="2">
        <v>86</v>
      </c>
    </row>
    <row r="8" spans="1:20" x14ac:dyDescent="0.25">
      <c r="A8" s="2" t="s">
        <v>24</v>
      </c>
      <c r="B8" s="2" t="s">
        <v>81</v>
      </c>
      <c r="C8" s="2">
        <v>71</v>
      </c>
      <c r="D8" s="2">
        <v>78</v>
      </c>
      <c r="E8" s="2">
        <v>85</v>
      </c>
      <c r="F8" s="2">
        <v>92</v>
      </c>
      <c r="G8" s="2">
        <v>99</v>
      </c>
      <c r="H8" s="2">
        <v>55</v>
      </c>
      <c r="I8" s="2">
        <v>62</v>
      </c>
      <c r="J8" s="2">
        <v>69</v>
      </c>
      <c r="K8" s="2">
        <v>76</v>
      </c>
      <c r="L8" s="2">
        <v>83</v>
      </c>
      <c r="M8" s="2">
        <f>SUM(C8:L8)</f>
        <v>770</v>
      </c>
      <c r="N8" s="12">
        <f t="shared" si="3"/>
        <v>77</v>
      </c>
      <c r="O8" s="13" t="str">
        <f t="shared" si="0"/>
        <v>B</v>
      </c>
      <c r="P8" s="2" t="str">
        <f t="shared" si="1"/>
        <v>Pass</v>
      </c>
      <c r="Q8" s="2">
        <f t="shared" si="2"/>
        <v>16</v>
      </c>
      <c r="R8" s="2">
        <f>MAX(C8:L8)</f>
        <v>99</v>
      </c>
      <c r="S8" s="2">
        <f>MIN(C8:L8)</f>
        <v>55</v>
      </c>
      <c r="T8" s="2">
        <v>87</v>
      </c>
    </row>
    <row r="9" spans="1:20" x14ac:dyDescent="0.25">
      <c r="A9" s="2" t="s">
        <v>25</v>
      </c>
      <c r="B9" s="2" t="s">
        <v>82</v>
      </c>
      <c r="C9" s="2">
        <v>74</v>
      </c>
      <c r="D9" s="2">
        <v>82</v>
      </c>
      <c r="E9" s="2">
        <v>90</v>
      </c>
      <c r="F9" s="2">
        <v>98</v>
      </c>
      <c r="G9" s="2">
        <v>55</v>
      </c>
      <c r="H9" s="2">
        <v>63</v>
      </c>
      <c r="I9" s="2">
        <v>71</v>
      </c>
      <c r="J9" s="2">
        <v>79</v>
      </c>
      <c r="K9" s="2">
        <v>87</v>
      </c>
      <c r="L9" s="2">
        <v>95</v>
      </c>
      <c r="M9" s="2">
        <f>SUM(C9:L9)</f>
        <v>794</v>
      </c>
      <c r="N9" s="12">
        <f t="shared" si="3"/>
        <v>79.400000000000006</v>
      </c>
      <c r="O9" s="13" t="str">
        <f t="shared" si="0"/>
        <v>B</v>
      </c>
      <c r="P9" s="2" t="str">
        <f t="shared" si="1"/>
        <v>Pass</v>
      </c>
      <c r="Q9" s="2">
        <f t="shared" si="2"/>
        <v>6</v>
      </c>
      <c r="R9" s="2">
        <f>MAX(C9:L9)</f>
        <v>98</v>
      </c>
      <c r="S9" s="2">
        <f>MIN(C9:L9)</f>
        <v>55</v>
      </c>
      <c r="T9" s="2">
        <v>88</v>
      </c>
    </row>
    <row r="10" spans="1:20" x14ac:dyDescent="0.25">
      <c r="A10" s="2" t="s">
        <v>26</v>
      </c>
      <c r="B10" s="2" t="s">
        <v>83</v>
      </c>
      <c r="C10" s="2">
        <v>77</v>
      </c>
      <c r="D10" s="2">
        <v>86</v>
      </c>
      <c r="E10" s="2">
        <v>95</v>
      </c>
      <c r="F10" s="2">
        <v>53</v>
      </c>
      <c r="G10" s="2">
        <v>62</v>
      </c>
      <c r="H10" s="2">
        <v>71</v>
      </c>
      <c r="I10" s="2">
        <v>80</v>
      </c>
      <c r="J10" s="2">
        <v>89</v>
      </c>
      <c r="K10" s="2">
        <v>98</v>
      </c>
      <c r="L10" s="2">
        <v>56</v>
      </c>
      <c r="M10" s="2">
        <f>SUM(C10:L10)</f>
        <v>767</v>
      </c>
      <c r="N10" s="12">
        <f t="shared" si="3"/>
        <v>76.7</v>
      </c>
      <c r="O10" s="13" t="str">
        <f t="shared" si="0"/>
        <v>B</v>
      </c>
      <c r="P10" s="2" t="str">
        <f t="shared" si="1"/>
        <v>Pass</v>
      </c>
      <c r="Q10" s="2">
        <f t="shared" si="2"/>
        <v>18</v>
      </c>
      <c r="R10" s="2">
        <f>MAX(C10:L10)</f>
        <v>98</v>
      </c>
      <c r="S10" s="2">
        <f>MIN(C10:L10)</f>
        <v>53</v>
      </c>
      <c r="T10" s="2">
        <v>89</v>
      </c>
    </row>
    <row r="11" spans="1:20" x14ac:dyDescent="0.25">
      <c r="A11" s="2" t="s">
        <v>27</v>
      </c>
      <c r="B11" s="2" t="s">
        <v>84</v>
      </c>
      <c r="C11" s="2">
        <v>80</v>
      </c>
      <c r="D11" s="2">
        <v>90</v>
      </c>
      <c r="E11" s="2">
        <v>100</v>
      </c>
      <c r="F11" s="2">
        <v>59</v>
      </c>
      <c r="G11" s="2">
        <v>69</v>
      </c>
      <c r="H11" s="2">
        <v>79</v>
      </c>
      <c r="I11" s="2">
        <v>89</v>
      </c>
      <c r="J11" s="2">
        <v>99</v>
      </c>
      <c r="K11" s="2">
        <v>58</v>
      </c>
      <c r="L11" s="2">
        <v>68</v>
      </c>
      <c r="M11" s="2">
        <f>SUM(C11:L11)</f>
        <v>791</v>
      </c>
      <c r="N11" s="12">
        <f t="shared" si="3"/>
        <v>79.100000000000009</v>
      </c>
      <c r="O11" s="13" t="str">
        <f t="shared" si="0"/>
        <v>B</v>
      </c>
      <c r="P11" s="2" t="str">
        <f t="shared" si="1"/>
        <v>Pass</v>
      </c>
      <c r="Q11" s="2">
        <f t="shared" si="2"/>
        <v>7</v>
      </c>
      <c r="R11" s="2">
        <f>MAX(C11:L11)</f>
        <v>100</v>
      </c>
      <c r="S11" s="2">
        <f>MIN(C11:L11)</f>
        <v>58</v>
      </c>
      <c r="T11" s="2">
        <v>90</v>
      </c>
    </row>
    <row r="12" spans="1:20" x14ac:dyDescent="0.25">
      <c r="A12" s="2" t="s">
        <v>28</v>
      </c>
      <c r="B12" s="2" t="s">
        <v>85</v>
      </c>
      <c r="C12" s="2">
        <v>83</v>
      </c>
      <c r="D12" s="2">
        <v>94</v>
      </c>
      <c r="E12" s="2">
        <v>54</v>
      </c>
      <c r="F12" s="2">
        <v>65</v>
      </c>
      <c r="G12" s="2">
        <v>76</v>
      </c>
      <c r="H12" s="2">
        <v>87</v>
      </c>
      <c r="I12" s="2">
        <v>98</v>
      </c>
      <c r="J12" s="2">
        <v>58</v>
      </c>
      <c r="K12" s="2">
        <v>69</v>
      </c>
      <c r="L12" s="2">
        <v>80</v>
      </c>
      <c r="M12" s="2">
        <f>SUM(C12:L12)</f>
        <v>764</v>
      </c>
      <c r="N12" s="12">
        <f t="shared" si="3"/>
        <v>76.400000000000006</v>
      </c>
      <c r="O12" s="13" t="str">
        <f t="shared" si="0"/>
        <v>B</v>
      </c>
      <c r="P12" s="2" t="str">
        <f t="shared" si="1"/>
        <v>Pass</v>
      </c>
      <c r="Q12" s="2">
        <f t="shared" si="2"/>
        <v>19</v>
      </c>
      <c r="R12" s="2">
        <f>MAX(C12:L12)</f>
        <v>98</v>
      </c>
      <c r="S12" s="2">
        <f>MIN(C12:L12)</f>
        <v>54</v>
      </c>
      <c r="T12" s="2">
        <v>91</v>
      </c>
    </row>
    <row r="13" spans="1:20" x14ac:dyDescent="0.25">
      <c r="A13" s="2" t="s">
        <v>29</v>
      </c>
      <c r="B13" s="2" t="s">
        <v>86</v>
      </c>
      <c r="C13" s="2">
        <v>86</v>
      </c>
      <c r="D13" s="2">
        <v>98</v>
      </c>
      <c r="E13" s="2">
        <v>59</v>
      </c>
      <c r="F13" s="2">
        <v>71</v>
      </c>
      <c r="G13" s="2">
        <v>83</v>
      </c>
      <c r="H13" s="2">
        <v>95</v>
      </c>
      <c r="I13" s="2">
        <v>56</v>
      </c>
      <c r="J13" s="2">
        <v>68</v>
      </c>
      <c r="K13" s="2">
        <v>80</v>
      </c>
      <c r="L13" s="2">
        <v>92</v>
      </c>
      <c r="M13" s="2">
        <f>SUM(C13:L13)</f>
        <v>788</v>
      </c>
      <c r="N13" s="12">
        <f t="shared" si="3"/>
        <v>78.8</v>
      </c>
      <c r="O13" s="13" t="str">
        <f t="shared" si="0"/>
        <v>B</v>
      </c>
      <c r="P13" s="2" t="str">
        <f t="shared" si="1"/>
        <v>Pass</v>
      </c>
      <c r="Q13" s="2">
        <f t="shared" si="2"/>
        <v>8</v>
      </c>
      <c r="R13" s="2">
        <f>MAX(C13:L13)</f>
        <v>98</v>
      </c>
      <c r="S13" s="2">
        <f>MIN(C13:L13)</f>
        <v>56</v>
      </c>
      <c r="T13" s="2">
        <v>92</v>
      </c>
    </row>
    <row r="14" spans="1:20" x14ac:dyDescent="0.25">
      <c r="A14" s="2" t="s">
        <v>30</v>
      </c>
      <c r="B14" s="2" t="s">
        <v>87</v>
      </c>
      <c r="C14" s="2">
        <v>40</v>
      </c>
      <c r="D14" s="2">
        <v>41</v>
      </c>
      <c r="E14" s="2">
        <v>64</v>
      </c>
      <c r="F14" s="2">
        <v>48</v>
      </c>
      <c r="G14" s="2">
        <v>45</v>
      </c>
      <c r="H14" s="2">
        <v>43</v>
      </c>
      <c r="I14" s="2">
        <v>45</v>
      </c>
      <c r="J14" s="2">
        <v>47</v>
      </c>
      <c r="K14" s="2">
        <v>41</v>
      </c>
      <c r="L14" s="2">
        <v>53</v>
      </c>
      <c r="M14" s="2">
        <f>SUM(C14:L14)</f>
        <v>467</v>
      </c>
      <c r="N14" s="12">
        <f t="shared" si="3"/>
        <v>46.7</v>
      </c>
      <c r="O14" s="13" t="str">
        <f t="shared" si="0"/>
        <v>F</v>
      </c>
      <c r="P14" s="2" t="str">
        <f t="shared" si="1"/>
        <v>Fail</v>
      </c>
      <c r="Q14" s="2">
        <f t="shared" si="2"/>
        <v>49</v>
      </c>
      <c r="R14" s="2">
        <f>MAX(C14:L14)</f>
        <v>64</v>
      </c>
      <c r="S14" s="2">
        <f>MIN(C14:L14)</f>
        <v>40</v>
      </c>
      <c r="T14" s="2">
        <v>93</v>
      </c>
    </row>
    <row r="15" spans="1:20" x14ac:dyDescent="0.25">
      <c r="A15" s="2" t="s">
        <v>31</v>
      </c>
      <c r="B15" s="2" t="s">
        <v>88</v>
      </c>
      <c r="C15" s="2">
        <v>92</v>
      </c>
      <c r="D15" s="2">
        <v>55</v>
      </c>
      <c r="E15" s="2">
        <v>69</v>
      </c>
      <c r="F15" s="2">
        <v>83</v>
      </c>
      <c r="G15" s="2">
        <v>97</v>
      </c>
      <c r="H15" s="2">
        <v>60</v>
      </c>
      <c r="I15" s="2">
        <v>74</v>
      </c>
      <c r="J15" s="2">
        <v>88</v>
      </c>
      <c r="K15" s="2">
        <v>51</v>
      </c>
      <c r="L15" s="2">
        <v>65</v>
      </c>
      <c r="M15" s="2">
        <f>SUM(C15:L15)</f>
        <v>734</v>
      </c>
      <c r="N15" s="12">
        <f t="shared" si="3"/>
        <v>73.400000000000006</v>
      </c>
      <c r="O15" s="13" t="str">
        <f t="shared" si="0"/>
        <v>B</v>
      </c>
      <c r="P15" s="2" t="str">
        <f t="shared" si="1"/>
        <v>Pass</v>
      </c>
      <c r="Q15" s="2">
        <f t="shared" si="2"/>
        <v>35</v>
      </c>
      <c r="R15" s="2">
        <f>MAX(C15:L15)</f>
        <v>97</v>
      </c>
      <c r="S15" s="2">
        <f>MIN(C15:L15)</f>
        <v>51</v>
      </c>
      <c r="T15" s="2">
        <v>94</v>
      </c>
    </row>
    <row r="16" spans="1:20" x14ac:dyDescent="0.25">
      <c r="A16" s="2" t="s">
        <v>32</v>
      </c>
      <c r="B16" s="2" t="s">
        <v>89</v>
      </c>
      <c r="C16" s="2">
        <v>95</v>
      </c>
      <c r="D16" s="2">
        <v>59</v>
      </c>
      <c r="E16" s="2">
        <v>74</v>
      </c>
      <c r="F16" s="2">
        <v>89</v>
      </c>
      <c r="G16" s="2">
        <v>53</v>
      </c>
      <c r="H16" s="2">
        <v>68</v>
      </c>
      <c r="I16" s="2">
        <v>83</v>
      </c>
      <c r="J16" s="2">
        <v>98</v>
      </c>
      <c r="K16" s="2">
        <v>62</v>
      </c>
      <c r="L16" s="2">
        <v>77</v>
      </c>
      <c r="M16" s="2">
        <f>SUM(C16:L16)</f>
        <v>758</v>
      </c>
      <c r="N16" s="12">
        <f t="shared" si="3"/>
        <v>75.8</v>
      </c>
      <c r="O16" s="13" t="str">
        <f t="shared" si="0"/>
        <v>B</v>
      </c>
      <c r="P16" s="2" t="str">
        <f t="shared" si="1"/>
        <v>Pass</v>
      </c>
      <c r="Q16" s="2">
        <f t="shared" si="2"/>
        <v>23</v>
      </c>
      <c r="R16" s="2">
        <f>MAX(C16:L16)</f>
        <v>98</v>
      </c>
      <c r="S16" s="2">
        <f>MIN(C16:L16)</f>
        <v>53</v>
      </c>
      <c r="T16" s="2">
        <v>95</v>
      </c>
    </row>
    <row r="17" spans="1:20" x14ac:dyDescent="0.25">
      <c r="A17" s="2" t="s">
        <v>33</v>
      </c>
      <c r="B17" s="2" t="s">
        <v>90</v>
      </c>
      <c r="C17" s="2">
        <v>98</v>
      </c>
      <c r="D17" s="2">
        <v>63</v>
      </c>
      <c r="E17" s="2">
        <v>79</v>
      </c>
      <c r="F17" s="2">
        <v>95</v>
      </c>
      <c r="G17" s="2">
        <v>60</v>
      </c>
      <c r="H17" s="2">
        <v>76</v>
      </c>
      <c r="I17" s="2">
        <v>92</v>
      </c>
      <c r="J17" s="2">
        <v>57</v>
      </c>
      <c r="K17" s="2">
        <v>73</v>
      </c>
      <c r="L17" s="2">
        <v>89</v>
      </c>
      <c r="M17" s="2">
        <f>SUM(C17:L17)</f>
        <v>782</v>
      </c>
      <c r="N17" s="12">
        <f t="shared" si="3"/>
        <v>78.2</v>
      </c>
      <c r="O17" s="13" t="str">
        <f t="shared" si="0"/>
        <v>B</v>
      </c>
      <c r="P17" s="2" t="str">
        <f t="shared" si="1"/>
        <v>Pass</v>
      </c>
      <c r="Q17" s="2">
        <f t="shared" si="2"/>
        <v>11</v>
      </c>
      <c r="R17" s="2">
        <f>MAX(C17:L17)</f>
        <v>98</v>
      </c>
      <c r="S17" s="2">
        <f>MIN(C17:L17)</f>
        <v>57</v>
      </c>
      <c r="T17" s="2">
        <v>96</v>
      </c>
    </row>
    <row r="18" spans="1:20" x14ac:dyDescent="0.25">
      <c r="A18" s="2" t="s">
        <v>34</v>
      </c>
      <c r="B18" s="2" t="s">
        <v>91</v>
      </c>
      <c r="C18" s="2">
        <v>33</v>
      </c>
      <c r="D18" s="2">
        <v>41</v>
      </c>
      <c r="E18" s="2">
        <v>45</v>
      </c>
      <c r="F18" s="2">
        <v>50</v>
      </c>
      <c r="G18" s="2">
        <v>47</v>
      </c>
      <c r="H18" s="2">
        <v>44</v>
      </c>
      <c r="I18" s="2">
        <v>50</v>
      </c>
      <c r="J18" s="2">
        <v>47</v>
      </c>
      <c r="K18" s="2">
        <v>48</v>
      </c>
      <c r="L18" s="2">
        <v>35</v>
      </c>
      <c r="M18" s="2">
        <f>SUM(C18:L18)</f>
        <v>440</v>
      </c>
      <c r="N18" s="12">
        <f t="shared" si="3"/>
        <v>44</v>
      </c>
      <c r="O18" s="13" t="str">
        <f t="shared" si="0"/>
        <v>F</v>
      </c>
      <c r="P18" s="2" t="str">
        <f t="shared" si="1"/>
        <v>Fail</v>
      </c>
      <c r="Q18" s="2">
        <f t="shared" si="2"/>
        <v>50</v>
      </c>
      <c r="R18" s="2">
        <f>MAX(C18:L18)</f>
        <v>50</v>
      </c>
      <c r="S18" s="2">
        <f>MIN(C18:L18)</f>
        <v>33</v>
      </c>
      <c r="T18" s="2">
        <v>97</v>
      </c>
    </row>
    <row r="19" spans="1:20" x14ac:dyDescent="0.25">
      <c r="A19" s="2" t="s">
        <v>35</v>
      </c>
      <c r="B19" s="2" t="s">
        <v>92</v>
      </c>
      <c r="C19" s="2">
        <v>53</v>
      </c>
      <c r="D19" s="2">
        <v>71</v>
      </c>
      <c r="E19" s="2">
        <v>89</v>
      </c>
      <c r="F19" s="2">
        <v>56</v>
      </c>
      <c r="G19" s="2">
        <v>74</v>
      </c>
      <c r="H19" s="2">
        <v>92</v>
      </c>
      <c r="I19" s="2">
        <v>59</v>
      </c>
      <c r="J19" s="2">
        <v>77</v>
      </c>
      <c r="K19" s="2">
        <v>95</v>
      </c>
      <c r="L19" s="2">
        <v>62</v>
      </c>
      <c r="M19" s="2">
        <f>SUM(C19:L19)</f>
        <v>728</v>
      </c>
      <c r="N19" s="12">
        <f t="shared" si="3"/>
        <v>72.8</v>
      </c>
      <c r="O19" s="13" t="str">
        <f t="shared" si="0"/>
        <v>B</v>
      </c>
      <c r="P19" s="2" t="str">
        <f t="shared" si="1"/>
        <v>Pass</v>
      </c>
      <c r="Q19" s="2">
        <f t="shared" si="2"/>
        <v>37</v>
      </c>
      <c r="R19" s="2">
        <f>MAX(C19:L19)</f>
        <v>95</v>
      </c>
      <c r="S19" s="2">
        <f>MIN(C19:L19)</f>
        <v>53</v>
      </c>
      <c r="T19" s="2">
        <v>98</v>
      </c>
    </row>
    <row r="20" spans="1:20" x14ac:dyDescent="0.25">
      <c r="A20" s="2" t="s">
        <v>36</v>
      </c>
      <c r="B20" s="2" t="s">
        <v>93</v>
      </c>
      <c r="C20" s="2">
        <v>56</v>
      </c>
      <c r="D20" s="2">
        <v>75</v>
      </c>
      <c r="E20" s="2">
        <v>94</v>
      </c>
      <c r="F20" s="2">
        <v>62</v>
      </c>
      <c r="G20" s="2">
        <v>81</v>
      </c>
      <c r="H20" s="2">
        <v>100</v>
      </c>
      <c r="I20" s="2">
        <v>68</v>
      </c>
      <c r="J20" s="2">
        <v>87</v>
      </c>
      <c r="K20" s="2">
        <v>55</v>
      </c>
      <c r="L20" s="2">
        <v>74</v>
      </c>
      <c r="M20" s="2">
        <f>SUM(C20:L20)</f>
        <v>752</v>
      </c>
      <c r="N20" s="12">
        <f t="shared" si="3"/>
        <v>75.2</v>
      </c>
      <c r="O20" s="13" t="str">
        <f t="shared" si="0"/>
        <v>B</v>
      </c>
      <c r="P20" s="2" t="str">
        <f t="shared" si="1"/>
        <v>Pass</v>
      </c>
      <c r="Q20" s="2">
        <f t="shared" si="2"/>
        <v>25</v>
      </c>
      <c r="R20" s="2">
        <f>MAX(C20:L20)</f>
        <v>100</v>
      </c>
      <c r="S20" s="2">
        <f>MIN(C20:L20)</f>
        <v>55</v>
      </c>
      <c r="T20" s="2">
        <v>99</v>
      </c>
    </row>
    <row r="21" spans="1:20" x14ac:dyDescent="0.25">
      <c r="A21" s="2" t="s">
        <v>37</v>
      </c>
      <c r="B21" s="2" t="s">
        <v>94</v>
      </c>
      <c r="C21" s="2">
        <v>59</v>
      </c>
      <c r="D21" s="2">
        <v>79</v>
      </c>
      <c r="E21" s="2">
        <v>99</v>
      </c>
      <c r="F21" s="2">
        <v>68</v>
      </c>
      <c r="G21" s="2">
        <v>88</v>
      </c>
      <c r="H21" s="2">
        <v>57</v>
      </c>
      <c r="I21" s="2">
        <v>77</v>
      </c>
      <c r="J21" s="2">
        <v>97</v>
      </c>
      <c r="K21" s="2">
        <v>66</v>
      </c>
      <c r="L21" s="2">
        <v>86</v>
      </c>
      <c r="M21" s="2">
        <f>SUM(C21:L21)</f>
        <v>776</v>
      </c>
      <c r="N21" s="12">
        <f t="shared" si="3"/>
        <v>77.600000000000009</v>
      </c>
      <c r="O21" s="13" t="str">
        <f t="shared" si="0"/>
        <v>B</v>
      </c>
      <c r="P21" s="2" t="str">
        <f t="shared" si="1"/>
        <v>Pass</v>
      </c>
      <c r="Q21" s="2">
        <f t="shared" si="2"/>
        <v>13</v>
      </c>
      <c r="R21" s="2">
        <f>MAX(C21:L21)</f>
        <v>99</v>
      </c>
      <c r="S21" s="2">
        <f>MIN(C21:L21)</f>
        <v>57</v>
      </c>
      <c r="T21" s="2">
        <v>100</v>
      </c>
    </row>
    <row r="22" spans="1:20" x14ac:dyDescent="0.25">
      <c r="A22" s="2" t="s">
        <v>38</v>
      </c>
      <c r="B22" s="2" t="s">
        <v>95</v>
      </c>
      <c r="C22" s="2">
        <v>62</v>
      </c>
      <c r="D22" s="2">
        <v>83</v>
      </c>
      <c r="E22" s="2">
        <v>53</v>
      </c>
      <c r="F22" s="2">
        <v>74</v>
      </c>
      <c r="G22" s="2">
        <v>95</v>
      </c>
      <c r="H22" s="2">
        <v>65</v>
      </c>
      <c r="I22" s="2">
        <v>86</v>
      </c>
      <c r="J22" s="2">
        <v>56</v>
      </c>
      <c r="K22" s="2">
        <v>77</v>
      </c>
      <c r="L22" s="2">
        <v>98</v>
      </c>
      <c r="M22" s="2">
        <f>SUM(C22:L22)</f>
        <v>749</v>
      </c>
      <c r="N22" s="12">
        <f t="shared" si="3"/>
        <v>74.900000000000006</v>
      </c>
      <c r="O22" s="13" t="str">
        <f t="shared" si="0"/>
        <v>B</v>
      </c>
      <c r="P22" s="2" t="str">
        <f t="shared" si="1"/>
        <v>Pass</v>
      </c>
      <c r="Q22" s="2">
        <f t="shared" si="2"/>
        <v>27</v>
      </c>
      <c r="R22" s="2">
        <f>MAX(C22:L22)</f>
        <v>98</v>
      </c>
      <c r="S22" s="2">
        <f>MIN(C22:L22)</f>
        <v>53</v>
      </c>
      <c r="T22" s="2">
        <v>80</v>
      </c>
    </row>
    <row r="23" spans="1:20" x14ac:dyDescent="0.25">
      <c r="A23" s="2" t="s">
        <v>39</v>
      </c>
      <c r="B23" s="2" t="s">
        <v>96</v>
      </c>
      <c r="C23" s="2">
        <v>65</v>
      </c>
      <c r="D23" s="2">
        <v>87</v>
      </c>
      <c r="E23" s="2">
        <v>58</v>
      </c>
      <c r="F23" s="2">
        <v>80</v>
      </c>
      <c r="G23" s="2">
        <v>51</v>
      </c>
      <c r="H23" s="2">
        <v>73</v>
      </c>
      <c r="I23" s="2">
        <v>95</v>
      </c>
      <c r="J23" s="2">
        <v>66</v>
      </c>
      <c r="K23" s="2">
        <v>88</v>
      </c>
      <c r="L23" s="2">
        <v>59</v>
      </c>
      <c r="M23" s="2">
        <f>SUM(C23:L23)</f>
        <v>722</v>
      </c>
      <c r="N23" s="12">
        <f t="shared" si="3"/>
        <v>72.2</v>
      </c>
      <c r="O23" s="13" t="str">
        <f t="shared" si="0"/>
        <v>B</v>
      </c>
      <c r="P23" s="2" t="str">
        <f t="shared" si="1"/>
        <v>Pass</v>
      </c>
      <c r="Q23" s="2">
        <f t="shared" si="2"/>
        <v>40</v>
      </c>
      <c r="R23" s="2">
        <f>MAX(C23:L23)</f>
        <v>95</v>
      </c>
      <c r="S23" s="2">
        <f>MIN(C23:L23)</f>
        <v>51</v>
      </c>
      <c r="T23" s="2">
        <v>81</v>
      </c>
    </row>
    <row r="24" spans="1:20" x14ac:dyDescent="0.25">
      <c r="A24" s="2" t="s">
        <v>40</v>
      </c>
      <c r="B24" s="2" t="s">
        <v>97</v>
      </c>
      <c r="C24" s="2">
        <v>68</v>
      </c>
      <c r="D24" s="2">
        <v>91</v>
      </c>
      <c r="E24" s="2">
        <v>63</v>
      </c>
      <c r="F24" s="2">
        <v>86</v>
      </c>
      <c r="G24" s="2">
        <v>58</v>
      </c>
      <c r="H24" s="2">
        <v>81</v>
      </c>
      <c r="I24" s="2">
        <v>53</v>
      </c>
      <c r="J24" s="2">
        <v>76</v>
      </c>
      <c r="K24" s="2">
        <v>99</v>
      </c>
      <c r="L24" s="2">
        <v>71</v>
      </c>
      <c r="M24" s="2">
        <f>SUM(C24:L24)</f>
        <v>746</v>
      </c>
      <c r="N24" s="12">
        <f t="shared" si="3"/>
        <v>74.599999999999994</v>
      </c>
      <c r="O24" s="13" t="str">
        <f t="shared" si="0"/>
        <v>B</v>
      </c>
      <c r="P24" s="2" t="str">
        <f t="shared" si="1"/>
        <v>Pass</v>
      </c>
      <c r="Q24" s="2">
        <f t="shared" si="2"/>
        <v>28</v>
      </c>
      <c r="R24" s="2">
        <f>MAX(C24:L24)</f>
        <v>99</v>
      </c>
      <c r="S24" s="2">
        <f>MIN(C24:L24)</f>
        <v>53</v>
      </c>
      <c r="T24" s="2">
        <v>82</v>
      </c>
    </row>
    <row r="25" spans="1:20" x14ac:dyDescent="0.25">
      <c r="A25" s="2" t="s">
        <v>41</v>
      </c>
      <c r="B25" s="2" t="s">
        <v>98</v>
      </c>
      <c r="C25" s="2">
        <v>71</v>
      </c>
      <c r="D25" s="2">
        <v>95</v>
      </c>
      <c r="E25" s="2">
        <v>68</v>
      </c>
      <c r="F25" s="2">
        <v>92</v>
      </c>
      <c r="G25" s="2">
        <v>65</v>
      </c>
      <c r="H25" s="2">
        <v>89</v>
      </c>
      <c r="I25" s="2">
        <v>62</v>
      </c>
      <c r="J25" s="2">
        <v>86</v>
      </c>
      <c r="K25" s="2">
        <v>59</v>
      </c>
      <c r="L25" s="2">
        <v>83</v>
      </c>
      <c r="M25" s="2">
        <f>SUM(C25:L25)</f>
        <v>770</v>
      </c>
      <c r="N25" s="12">
        <f t="shared" si="3"/>
        <v>77</v>
      </c>
      <c r="O25" s="13" t="str">
        <f t="shared" si="0"/>
        <v>B</v>
      </c>
      <c r="P25" s="2" t="str">
        <f t="shared" si="1"/>
        <v>Pass</v>
      </c>
      <c r="Q25" s="2">
        <f t="shared" si="2"/>
        <v>16</v>
      </c>
      <c r="R25" s="2">
        <f>MAX(C25:L25)</f>
        <v>95</v>
      </c>
      <c r="S25" s="2">
        <f>MIN(C25:L25)</f>
        <v>59</v>
      </c>
      <c r="T25" s="2">
        <v>83</v>
      </c>
    </row>
    <row r="26" spans="1:20" x14ac:dyDescent="0.25">
      <c r="A26" s="2" t="s">
        <v>42</v>
      </c>
      <c r="B26" s="2" t="s">
        <v>99</v>
      </c>
      <c r="C26" s="2">
        <v>74</v>
      </c>
      <c r="D26" s="2">
        <v>99</v>
      </c>
      <c r="E26" s="2">
        <v>73</v>
      </c>
      <c r="F26" s="2">
        <v>98</v>
      </c>
      <c r="G26" s="2">
        <v>72</v>
      </c>
      <c r="H26" s="2">
        <v>97</v>
      </c>
      <c r="I26" s="2">
        <v>71</v>
      </c>
      <c r="J26" s="2">
        <v>96</v>
      </c>
      <c r="K26" s="2">
        <v>70</v>
      </c>
      <c r="L26" s="2">
        <v>95</v>
      </c>
      <c r="M26" s="2">
        <f>SUM(C26:L26)</f>
        <v>845</v>
      </c>
      <c r="N26" s="12">
        <f t="shared" si="3"/>
        <v>84.5</v>
      </c>
      <c r="O26" s="13" t="str">
        <f t="shared" si="0"/>
        <v>A</v>
      </c>
      <c r="P26" s="2" t="str">
        <f t="shared" si="1"/>
        <v>Pass</v>
      </c>
      <c r="Q26" s="2">
        <f t="shared" si="2"/>
        <v>3</v>
      </c>
      <c r="R26" s="2">
        <f>MAX(C26:L26)</f>
        <v>99</v>
      </c>
      <c r="S26" s="2">
        <f>MIN(C26:L26)</f>
        <v>70</v>
      </c>
      <c r="T26" s="2">
        <v>84</v>
      </c>
    </row>
    <row r="27" spans="1:20" x14ac:dyDescent="0.25">
      <c r="A27" s="2" t="s">
        <v>43</v>
      </c>
      <c r="B27" s="2" t="s">
        <v>100</v>
      </c>
      <c r="C27" s="2">
        <v>44</v>
      </c>
      <c r="D27" s="2">
        <v>52</v>
      </c>
      <c r="E27" s="2">
        <v>45</v>
      </c>
      <c r="F27" s="2">
        <v>53</v>
      </c>
      <c r="G27" s="2">
        <v>49</v>
      </c>
      <c r="H27" s="2">
        <v>54</v>
      </c>
      <c r="I27" s="2">
        <v>50</v>
      </c>
      <c r="J27" s="2">
        <v>55</v>
      </c>
      <c r="K27" s="2">
        <v>51</v>
      </c>
      <c r="L27" s="2">
        <v>44</v>
      </c>
      <c r="M27" s="2">
        <f>SUM(C27:L27)</f>
        <v>497</v>
      </c>
      <c r="N27" s="12">
        <f t="shared" si="3"/>
        <v>49.7</v>
      </c>
      <c r="O27" s="13" t="str">
        <f t="shared" si="0"/>
        <v>F</v>
      </c>
      <c r="P27" s="2" t="str">
        <f t="shared" si="1"/>
        <v>Fail</v>
      </c>
      <c r="Q27" s="2">
        <f t="shared" si="2"/>
        <v>47</v>
      </c>
      <c r="R27" s="2">
        <f>MAX(C27:L27)</f>
        <v>55</v>
      </c>
      <c r="S27" s="2">
        <f>MIN(C27:L27)</f>
        <v>44</v>
      </c>
      <c r="T27" s="2">
        <v>85</v>
      </c>
    </row>
    <row r="28" spans="1:20" x14ac:dyDescent="0.25">
      <c r="A28" s="2" t="s">
        <v>44</v>
      </c>
      <c r="B28" s="2" t="s">
        <v>101</v>
      </c>
      <c r="C28" s="2">
        <v>80</v>
      </c>
      <c r="D28" s="2">
        <v>56</v>
      </c>
      <c r="E28" s="2">
        <v>83</v>
      </c>
      <c r="F28" s="2">
        <v>59</v>
      </c>
      <c r="G28" s="2">
        <v>86</v>
      </c>
      <c r="H28" s="2">
        <v>62</v>
      </c>
      <c r="I28" s="2">
        <v>89</v>
      </c>
      <c r="J28" s="2">
        <v>65</v>
      </c>
      <c r="K28" s="2">
        <v>92</v>
      </c>
      <c r="L28" s="2">
        <v>68</v>
      </c>
      <c r="M28" s="2">
        <f>SUM(C28:L28)</f>
        <v>740</v>
      </c>
      <c r="N28" s="12">
        <f t="shared" si="3"/>
        <v>74</v>
      </c>
      <c r="O28" s="13" t="str">
        <f t="shared" si="0"/>
        <v>B</v>
      </c>
      <c r="P28" s="2" t="str">
        <f t="shared" si="1"/>
        <v>Pass</v>
      </c>
      <c r="Q28" s="2">
        <f t="shared" si="2"/>
        <v>32</v>
      </c>
      <c r="R28" s="2">
        <f>MAX(C28:L28)</f>
        <v>92</v>
      </c>
      <c r="S28" s="2">
        <f>MIN(C28:L28)</f>
        <v>56</v>
      </c>
      <c r="T28" s="2">
        <v>86</v>
      </c>
    </row>
    <row r="29" spans="1:20" x14ac:dyDescent="0.25">
      <c r="A29" s="2" t="s">
        <v>45</v>
      </c>
      <c r="B29" s="2" t="s">
        <v>102</v>
      </c>
      <c r="C29" s="2">
        <v>83</v>
      </c>
      <c r="D29" s="2">
        <v>60</v>
      </c>
      <c r="E29" s="2">
        <v>88</v>
      </c>
      <c r="F29" s="2">
        <v>65</v>
      </c>
      <c r="G29" s="2">
        <v>93</v>
      </c>
      <c r="H29" s="2">
        <v>70</v>
      </c>
      <c r="I29" s="2">
        <v>98</v>
      </c>
      <c r="J29" s="2">
        <v>75</v>
      </c>
      <c r="K29" s="2">
        <v>52</v>
      </c>
      <c r="L29" s="2">
        <v>80</v>
      </c>
      <c r="M29" s="2">
        <f>SUM(C29:L29)</f>
        <v>764</v>
      </c>
      <c r="N29" s="12">
        <f t="shared" si="3"/>
        <v>76.400000000000006</v>
      </c>
      <c r="O29" s="13" t="str">
        <f t="shared" si="0"/>
        <v>B</v>
      </c>
      <c r="P29" s="2" t="str">
        <f t="shared" si="1"/>
        <v>Pass</v>
      </c>
      <c r="Q29" s="2">
        <f t="shared" si="2"/>
        <v>19</v>
      </c>
      <c r="R29" s="2">
        <f>MAX(C29:L29)</f>
        <v>98</v>
      </c>
      <c r="S29" s="2">
        <f>MIN(C29:L29)</f>
        <v>52</v>
      </c>
      <c r="T29" s="2">
        <v>87</v>
      </c>
    </row>
    <row r="30" spans="1:20" x14ac:dyDescent="0.25">
      <c r="A30" s="2" t="s">
        <v>46</v>
      </c>
      <c r="B30" s="2" t="s">
        <v>99</v>
      </c>
      <c r="C30" s="2">
        <v>86</v>
      </c>
      <c r="D30" s="2">
        <v>64</v>
      </c>
      <c r="E30" s="2">
        <v>93</v>
      </c>
      <c r="F30" s="2">
        <v>71</v>
      </c>
      <c r="G30" s="2">
        <v>100</v>
      </c>
      <c r="H30" s="2">
        <v>78</v>
      </c>
      <c r="I30" s="2">
        <v>56</v>
      </c>
      <c r="J30" s="2">
        <v>85</v>
      </c>
      <c r="K30" s="2">
        <v>63</v>
      </c>
      <c r="L30" s="2">
        <v>92</v>
      </c>
      <c r="M30" s="2">
        <f>SUM(C30:L30)</f>
        <v>788</v>
      </c>
      <c r="N30" s="12">
        <f t="shared" si="3"/>
        <v>78.8</v>
      </c>
      <c r="O30" s="13" t="str">
        <f t="shared" si="0"/>
        <v>B</v>
      </c>
      <c r="P30" s="2" t="str">
        <f t="shared" si="1"/>
        <v>Pass</v>
      </c>
      <c r="Q30" s="2">
        <f t="shared" si="2"/>
        <v>8</v>
      </c>
      <c r="R30" s="2">
        <f>MAX(C30:L30)</f>
        <v>100</v>
      </c>
      <c r="S30" s="2">
        <f>MIN(C30:L30)</f>
        <v>56</v>
      </c>
      <c r="T30" s="2">
        <v>88</v>
      </c>
    </row>
    <row r="31" spans="1:20" x14ac:dyDescent="0.25">
      <c r="A31" s="2" t="s">
        <v>47</v>
      </c>
      <c r="B31" s="2" t="s">
        <v>103</v>
      </c>
      <c r="C31" s="2">
        <v>89</v>
      </c>
      <c r="D31" s="2">
        <v>68</v>
      </c>
      <c r="E31" s="2">
        <v>98</v>
      </c>
      <c r="F31" s="2">
        <v>77</v>
      </c>
      <c r="G31" s="2">
        <v>56</v>
      </c>
      <c r="H31" s="2">
        <v>86</v>
      </c>
      <c r="I31" s="2">
        <v>65</v>
      </c>
      <c r="J31" s="2">
        <v>95</v>
      </c>
      <c r="K31" s="2">
        <v>74</v>
      </c>
      <c r="L31" s="2">
        <v>53</v>
      </c>
      <c r="M31" s="2">
        <f>SUM(C31:L31)</f>
        <v>761</v>
      </c>
      <c r="N31" s="12">
        <f t="shared" si="3"/>
        <v>76.099999999999994</v>
      </c>
      <c r="O31" s="13" t="str">
        <f t="shared" si="0"/>
        <v>B</v>
      </c>
      <c r="P31" s="2" t="str">
        <f t="shared" si="1"/>
        <v>Pass</v>
      </c>
      <c r="Q31" s="2">
        <f t="shared" si="2"/>
        <v>22</v>
      </c>
      <c r="R31" s="2">
        <f>MAX(C31:L31)</f>
        <v>98</v>
      </c>
      <c r="S31" s="2">
        <f>MIN(C31:L31)</f>
        <v>53</v>
      </c>
      <c r="T31" s="2">
        <v>89</v>
      </c>
    </row>
    <row r="32" spans="1:20" x14ac:dyDescent="0.25">
      <c r="A32" s="2" t="s">
        <v>48</v>
      </c>
      <c r="B32" s="2" t="s">
        <v>104</v>
      </c>
      <c r="C32" s="2">
        <v>92</v>
      </c>
      <c r="D32" s="2">
        <v>72</v>
      </c>
      <c r="E32" s="2">
        <v>52</v>
      </c>
      <c r="F32" s="2">
        <v>83</v>
      </c>
      <c r="G32" s="2">
        <v>63</v>
      </c>
      <c r="H32" s="2">
        <v>94</v>
      </c>
      <c r="I32" s="2">
        <v>74</v>
      </c>
      <c r="J32" s="2">
        <v>54</v>
      </c>
      <c r="K32" s="2">
        <v>85</v>
      </c>
      <c r="L32" s="2">
        <v>65</v>
      </c>
      <c r="M32" s="2">
        <f>SUM(C32:L32)</f>
        <v>734</v>
      </c>
      <c r="N32" s="12">
        <f t="shared" si="3"/>
        <v>73.400000000000006</v>
      </c>
      <c r="O32" s="13" t="str">
        <f t="shared" si="0"/>
        <v>B</v>
      </c>
      <c r="P32" s="2" t="str">
        <f t="shared" si="1"/>
        <v>Pass</v>
      </c>
      <c r="Q32" s="2">
        <f t="shared" si="2"/>
        <v>35</v>
      </c>
      <c r="R32" s="2">
        <f>MAX(C32:L32)</f>
        <v>94</v>
      </c>
      <c r="S32" s="2">
        <f>MIN(C32:L32)</f>
        <v>52</v>
      </c>
      <c r="T32" s="2">
        <v>90</v>
      </c>
    </row>
    <row r="33" spans="1:20" x14ac:dyDescent="0.25">
      <c r="A33" s="2" t="s">
        <v>49</v>
      </c>
      <c r="B33" s="2" t="s">
        <v>105</v>
      </c>
      <c r="C33" s="2">
        <v>95</v>
      </c>
      <c r="D33" s="2">
        <v>76</v>
      </c>
      <c r="E33" s="2">
        <v>57</v>
      </c>
      <c r="F33" s="2">
        <v>89</v>
      </c>
      <c r="G33" s="2">
        <v>70</v>
      </c>
      <c r="H33" s="2">
        <v>51</v>
      </c>
      <c r="I33" s="2">
        <v>83</v>
      </c>
      <c r="J33" s="2">
        <v>64</v>
      </c>
      <c r="K33" s="2">
        <v>96</v>
      </c>
      <c r="L33" s="2">
        <v>77</v>
      </c>
      <c r="M33" s="2">
        <f>SUM(C33:L33)</f>
        <v>758</v>
      </c>
      <c r="N33" s="12">
        <f t="shared" si="3"/>
        <v>75.8</v>
      </c>
      <c r="O33" s="13" t="str">
        <f t="shared" si="0"/>
        <v>B</v>
      </c>
      <c r="P33" s="2" t="str">
        <f t="shared" si="1"/>
        <v>Pass</v>
      </c>
      <c r="Q33" s="2">
        <f t="shared" si="2"/>
        <v>23</v>
      </c>
      <c r="R33" s="2">
        <f>MAX(C33:L33)</f>
        <v>96</v>
      </c>
      <c r="S33" s="2">
        <f>MIN(C33:L33)</f>
        <v>51</v>
      </c>
      <c r="T33" s="2">
        <v>91</v>
      </c>
    </row>
    <row r="34" spans="1:20" x14ac:dyDescent="0.25">
      <c r="A34" s="2" t="s">
        <v>50</v>
      </c>
      <c r="B34" s="2" t="s">
        <v>106</v>
      </c>
      <c r="C34" s="2">
        <v>98</v>
      </c>
      <c r="D34" s="2">
        <v>80</v>
      </c>
      <c r="E34" s="2">
        <v>62</v>
      </c>
      <c r="F34" s="2">
        <v>95</v>
      </c>
      <c r="G34" s="2">
        <v>77</v>
      </c>
      <c r="H34" s="2">
        <v>59</v>
      </c>
      <c r="I34" s="2">
        <v>92</v>
      </c>
      <c r="J34" s="2">
        <v>74</v>
      </c>
      <c r="K34" s="2">
        <v>56</v>
      </c>
      <c r="L34" s="2">
        <v>89</v>
      </c>
      <c r="M34" s="2">
        <f>SUM(C34:L34)</f>
        <v>782</v>
      </c>
      <c r="N34" s="12">
        <f t="shared" si="3"/>
        <v>78.2</v>
      </c>
      <c r="O34" s="13" t="str">
        <f t="shared" si="0"/>
        <v>B</v>
      </c>
      <c r="P34" s="2" t="str">
        <f t="shared" si="1"/>
        <v>Pass</v>
      </c>
      <c r="Q34" s="2">
        <f t="shared" si="2"/>
        <v>11</v>
      </c>
      <c r="R34" s="2">
        <f>MAX(C34:L34)</f>
        <v>98</v>
      </c>
      <c r="S34" s="2">
        <f>MIN(C34:L34)</f>
        <v>56</v>
      </c>
      <c r="T34" s="2">
        <v>92</v>
      </c>
    </row>
    <row r="35" spans="1:20" x14ac:dyDescent="0.25">
      <c r="A35" s="2" t="s">
        <v>51</v>
      </c>
      <c r="B35" s="2" t="s">
        <v>107</v>
      </c>
      <c r="C35" s="2">
        <v>50</v>
      </c>
      <c r="D35" s="2">
        <v>84</v>
      </c>
      <c r="E35" s="2">
        <v>67</v>
      </c>
      <c r="F35" s="2">
        <v>50</v>
      </c>
      <c r="G35" s="2">
        <v>84</v>
      </c>
      <c r="H35" s="2">
        <v>67</v>
      </c>
      <c r="I35" s="2">
        <v>50</v>
      </c>
      <c r="J35" s="2">
        <v>84</v>
      </c>
      <c r="K35" s="2">
        <v>67</v>
      </c>
      <c r="L35" s="2">
        <v>50</v>
      </c>
      <c r="M35" s="2">
        <f>SUM(C35:L35)</f>
        <v>653</v>
      </c>
      <c r="N35" s="12">
        <f t="shared" ref="N35:N66" si="4">M35/1000*100</f>
        <v>65.3</v>
      </c>
      <c r="O35" s="13" t="str">
        <f t="shared" ref="O35:O66" si="5">IF(N35&gt;=90,"A+",IF(N35&gt;=80,"A",IF(N35&gt;=70,"B",IF(N35&gt;=60,"C",IF(N35&gt;=50,"D","F")))))</f>
        <v>C</v>
      </c>
      <c r="P35" s="2" t="str">
        <f t="shared" ref="P35:P52" si="6">IF(N35&gt;=50,"Pass","Fail")</f>
        <v>Pass</v>
      </c>
      <c r="Q35" s="2">
        <f t="shared" ref="Q35:Q52" si="7">RANK(M35,$M$3:$M$52,0)</f>
        <v>45</v>
      </c>
      <c r="R35" s="2">
        <f>MAX(C35:L35)</f>
        <v>84</v>
      </c>
      <c r="S35" s="2">
        <f>MIN(C35:L35)</f>
        <v>50</v>
      </c>
      <c r="T35" s="2">
        <v>93</v>
      </c>
    </row>
    <row r="36" spans="1:20" x14ac:dyDescent="0.25">
      <c r="A36" s="2" t="s">
        <v>52</v>
      </c>
      <c r="B36" s="2" t="s">
        <v>108</v>
      </c>
      <c r="C36" s="2">
        <v>53</v>
      </c>
      <c r="D36" s="2">
        <v>88</v>
      </c>
      <c r="E36" s="2">
        <v>72</v>
      </c>
      <c r="F36" s="2">
        <v>56</v>
      </c>
      <c r="G36" s="2">
        <v>91</v>
      </c>
      <c r="H36" s="2">
        <v>75</v>
      </c>
      <c r="I36" s="2">
        <v>59</v>
      </c>
      <c r="J36" s="2">
        <v>94</v>
      </c>
      <c r="K36" s="2">
        <v>78</v>
      </c>
      <c r="L36" s="2">
        <v>62</v>
      </c>
      <c r="M36" s="2">
        <f>SUM(C36:L36)</f>
        <v>728</v>
      </c>
      <c r="N36" s="12">
        <f t="shared" si="4"/>
        <v>72.8</v>
      </c>
      <c r="O36" s="13" t="str">
        <f t="shared" si="5"/>
        <v>B</v>
      </c>
      <c r="P36" s="2" t="str">
        <f t="shared" si="6"/>
        <v>Pass</v>
      </c>
      <c r="Q36" s="2">
        <f t="shared" si="7"/>
        <v>37</v>
      </c>
      <c r="R36" s="2">
        <f>MAX(C36:L36)</f>
        <v>94</v>
      </c>
      <c r="S36" s="2">
        <f>MIN(C36:L36)</f>
        <v>53</v>
      </c>
      <c r="T36" s="2">
        <v>94</v>
      </c>
    </row>
    <row r="37" spans="1:20" x14ac:dyDescent="0.25">
      <c r="A37" s="2" t="s">
        <v>53</v>
      </c>
      <c r="B37" s="2" t="s">
        <v>109</v>
      </c>
      <c r="C37" s="2">
        <v>56</v>
      </c>
      <c r="D37" s="2">
        <v>92</v>
      </c>
      <c r="E37" s="2">
        <v>77</v>
      </c>
      <c r="F37" s="2">
        <v>62</v>
      </c>
      <c r="G37" s="2">
        <v>98</v>
      </c>
      <c r="H37" s="2">
        <v>83</v>
      </c>
      <c r="I37" s="2">
        <v>68</v>
      </c>
      <c r="J37" s="2">
        <v>53</v>
      </c>
      <c r="K37" s="2">
        <v>89</v>
      </c>
      <c r="L37" s="2">
        <v>74</v>
      </c>
      <c r="M37" s="2">
        <f>SUM(C37:L37)</f>
        <v>752</v>
      </c>
      <c r="N37" s="12">
        <f t="shared" si="4"/>
        <v>75.2</v>
      </c>
      <c r="O37" s="13" t="str">
        <f t="shared" si="5"/>
        <v>B</v>
      </c>
      <c r="P37" s="2" t="str">
        <f t="shared" si="6"/>
        <v>Pass</v>
      </c>
      <c r="Q37" s="2">
        <f t="shared" si="7"/>
        <v>25</v>
      </c>
      <c r="R37" s="2">
        <f>MAX(C37:L37)</f>
        <v>98</v>
      </c>
      <c r="S37" s="2">
        <f>MIN(C37:L37)</f>
        <v>53</v>
      </c>
      <c r="T37" s="2">
        <v>95</v>
      </c>
    </row>
    <row r="38" spans="1:20" x14ac:dyDescent="0.25">
      <c r="A38" s="2" t="s">
        <v>54</v>
      </c>
      <c r="B38" s="2" t="s">
        <v>110</v>
      </c>
      <c r="C38" s="2">
        <v>59</v>
      </c>
      <c r="D38" s="2">
        <v>96</v>
      </c>
      <c r="E38" s="2">
        <v>82</v>
      </c>
      <c r="F38" s="2">
        <v>68</v>
      </c>
      <c r="G38" s="2">
        <v>54</v>
      </c>
      <c r="H38" s="2">
        <v>91</v>
      </c>
      <c r="I38" s="2">
        <v>77</v>
      </c>
      <c r="J38" s="2">
        <v>63</v>
      </c>
      <c r="K38" s="2">
        <v>100</v>
      </c>
      <c r="L38" s="2">
        <v>86</v>
      </c>
      <c r="M38" s="2">
        <f>SUM(C38:L38)</f>
        <v>776</v>
      </c>
      <c r="N38" s="12">
        <f t="shared" si="4"/>
        <v>77.600000000000009</v>
      </c>
      <c r="O38" s="13" t="str">
        <f t="shared" si="5"/>
        <v>B</v>
      </c>
      <c r="P38" s="2" t="str">
        <f t="shared" si="6"/>
        <v>Pass</v>
      </c>
      <c r="Q38" s="2">
        <f t="shared" si="7"/>
        <v>13</v>
      </c>
      <c r="R38" s="2">
        <f>MAX(C38:L38)</f>
        <v>100</v>
      </c>
      <c r="S38" s="2">
        <f>MIN(C38:L38)</f>
        <v>54</v>
      </c>
      <c r="T38" s="2">
        <v>96</v>
      </c>
    </row>
    <row r="39" spans="1:20" x14ac:dyDescent="0.25">
      <c r="A39" s="2" t="s">
        <v>55</v>
      </c>
      <c r="B39" s="2" t="s">
        <v>111</v>
      </c>
      <c r="C39" s="2">
        <v>62</v>
      </c>
      <c r="D39" s="2">
        <v>100</v>
      </c>
      <c r="E39" s="2">
        <v>87</v>
      </c>
      <c r="F39" s="2">
        <v>74</v>
      </c>
      <c r="G39" s="2">
        <v>61</v>
      </c>
      <c r="H39" s="2">
        <v>99</v>
      </c>
      <c r="I39" s="2">
        <v>86</v>
      </c>
      <c r="J39" s="2">
        <v>73</v>
      </c>
      <c r="K39" s="2">
        <v>60</v>
      </c>
      <c r="L39" s="2">
        <v>98</v>
      </c>
      <c r="M39" s="2">
        <f>SUM(C39:L39)</f>
        <v>800</v>
      </c>
      <c r="N39" s="12">
        <f t="shared" si="4"/>
        <v>80</v>
      </c>
      <c r="O39" s="13" t="str">
        <f t="shared" si="5"/>
        <v>A</v>
      </c>
      <c r="P39" s="2" t="str">
        <f t="shared" si="6"/>
        <v>Pass</v>
      </c>
      <c r="Q39" s="2">
        <f t="shared" si="7"/>
        <v>4</v>
      </c>
      <c r="R39" s="2">
        <f>MAX(C39:L39)</f>
        <v>100</v>
      </c>
      <c r="S39" s="2">
        <f>MIN(C39:L39)</f>
        <v>60</v>
      </c>
      <c r="T39" s="2">
        <v>97</v>
      </c>
    </row>
    <row r="40" spans="1:20" x14ac:dyDescent="0.25">
      <c r="A40" s="2" t="s">
        <v>56</v>
      </c>
      <c r="B40" s="2" t="s">
        <v>112</v>
      </c>
      <c r="C40" s="2">
        <v>65</v>
      </c>
      <c r="D40" s="2">
        <v>53</v>
      </c>
      <c r="E40" s="2">
        <v>92</v>
      </c>
      <c r="F40" s="2">
        <v>80</v>
      </c>
      <c r="G40" s="2">
        <v>68</v>
      </c>
      <c r="H40" s="2">
        <v>56</v>
      </c>
      <c r="I40" s="2">
        <v>95</v>
      </c>
      <c r="J40" s="2">
        <v>83</v>
      </c>
      <c r="K40" s="2">
        <v>71</v>
      </c>
      <c r="L40" s="2">
        <v>59</v>
      </c>
      <c r="M40" s="2">
        <f>SUM(C40:L40)</f>
        <v>722</v>
      </c>
      <c r="N40" s="12">
        <f t="shared" si="4"/>
        <v>72.2</v>
      </c>
      <c r="O40" s="13" t="str">
        <f t="shared" si="5"/>
        <v>B</v>
      </c>
      <c r="P40" s="2" t="str">
        <f t="shared" si="6"/>
        <v>Pass</v>
      </c>
      <c r="Q40" s="2">
        <f t="shared" si="7"/>
        <v>40</v>
      </c>
      <c r="R40" s="2">
        <f>MAX(C40:L40)</f>
        <v>95</v>
      </c>
      <c r="S40" s="2">
        <f>MIN(C40:L40)</f>
        <v>53</v>
      </c>
      <c r="T40" s="2">
        <v>98</v>
      </c>
    </row>
    <row r="41" spans="1:20" x14ac:dyDescent="0.25">
      <c r="A41" s="2" t="s">
        <v>57</v>
      </c>
      <c r="B41" s="2" t="s">
        <v>113</v>
      </c>
      <c r="C41" s="2">
        <v>68</v>
      </c>
      <c r="D41" s="2">
        <v>57</v>
      </c>
      <c r="E41" s="2">
        <v>97</v>
      </c>
      <c r="F41" s="2">
        <v>86</v>
      </c>
      <c r="G41" s="2">
        <v>75</v>
      </c>
      <c r="H41" s="2">
        <v>64</v>
      </c>
      <c r="I41" s="2">
        <v>53</v>
      </c>
      <c r="J41" s="2">
        <v>93</v>
      </c>
      <c r="K41" s="2">
        <v>82</v>
      </c>
      <c r="L41" s="2">
        <v>71</v>
      </c>
      <c r="M41" s="2">
        <f>SUM(C41:L41)</f>
        <v>746</v>
      </c>
      <c r="N41" s="12">
        <f t="shared" si="4"/>
        <v>74.599999999999994</v>
      </c>
      <c r="O41" s="13" t="str">
        <f t="shared" si="5"/>
        <v>B</v>
      </c>
      <c r="P41" s="2" t="str">
        <f t="shared" si="6"/>
        <v>Pass</v>
      </c>
      <c r="Q41" s="2">
        <f t="shared" si="7"/>
        <v>28</v>
      </c>
      <c r="R41" s="2">
        <f>MAX(C41:L41)</f>
        <v>97</v>
      </c>
      <c r="S41" s="2">
        <f>MIN(C41:L41)</f>
        <v>53</v>
      </c>
      <c r="T41" s="2">
        <v>99</v>
      </c>
    </row>
    <row r="42" spans="1:20" x14ac:dyDescent="0.25">
      <c r="A42" s="2" t="s">
        <v>58</v>
      </c>
      <c r="B42" s="2" t="s">
        <v>114</v>
      </c>
      <c r="C42" s="2">
        <v>71</v>
      </c>
      <c r="D42" s="2">
        <v>61</v>
      </c>
      <c r="E42" s="2">
        <v>51</v>
      </c>
      <c r="F42" s="2">
        <v>92</v>
      </c>
      <c r="G42" s="2">
        <v>82</v>
      </c>
      <c r="H42" s="2">
        <v>72</v>
      </c>
      <c r="I42" s="2">
        <v>62</v>
      </c>
      <c r="J42" s="2">
        <v>52</v>
      </c>
      <c r="K42" s="2">
        <v>93</v>
      </c>
      <c r="L42" s="2">
        <v>83</v>
      </c>
      <c r="M42" s="2">
        <f>SUM(C42:L42)</f>
        <v>719</v>
      </c>
      <c r="N42" s="12">
        <f t="shared" si="4"/>
        <v>71.899999999999991</v>
      </c>
      <c r="O42" s="13" t="str">
        <f t="shared" si="5"/>
        <v>B</v>
      </c>
      <c r="P42" s="2" t="str">
        <f t="shared" si="6"/>
        <v>Pass</v>
      </c>
      <c r="Q42" s="2">
        <f t="shared" si="7"/>
        <v>42</v>
      </c>
      <c r="R42" s="2">
        <f>MAX(C42:L42)</f>
        <v>93</v>
      </c>
      <c r="S42" s="2">
        <f>MIN(C42:L42)</f>
        <v>51</v>
      </c>
      <c r="T42" s="2">
        <v>100</v>
      </c>
    </row>
    <row r="43" spans="1:20" x14ac:dyDescent="0.25">
      <c r="A43" s="2" t="s">
        <v>59</v>
      </c>
      <c r="B43" s="2" t="s">
        <v>115</v>
      </c>
      <c r="C43" s="2">
        <v>74</v>
      </c>
      <c r="D43" s="2">
        <v>65</v>
      </c>
      <c r="E43" s="2">
        <v>56</v>
      </c>
      <c r="F43" s="2">
        <v>98</v>
      </c>
      <c r="G43" s="2">
        <v>89</v>
      </c>
      <c r="H43" s="2">
        <v>80</v>
      </c>
      <c r="I43" s="2">
        <v>71</v>
      </c>
      <c r="J43" s="2">
        <v>62</v>
      </c>
      <c r="K43" s="2">
        <v>53</v>
      </c>
      <c r="L43" s="2">
        <v>95</v>
      </c>
      <c r="M43" s="2">
        <f>SUM(C43:L43)</f>
        <v>743</v>
      </c>
      <c r="N43" s="12">
        <f t="shared" si="4"/>
        <v>74.3</v>
      </c>
      <c r="O43" s="13" t="str">
        <f t="shared" si="5"/>
        <v>B</v>
      </c>
      <c r="P43" s="2" t="str">
        <f t="shared" si="6"/>
        <v>Pass</v>
      </c>
      <c r="Q43" s="2">
        <f t="shared" si="7"/>
        <v>31</v>
      </c>
      <c r="R43" s="2">
        <f>MAX(C43:L43)</f>
        <v>98</v>
      </c>
      <c r="S43" s="2">
        <f>MIN(C43:L43)</f>
        <v>53</v>
      </c>
      <c r="T43" s="2">
        <v>80</v>
      </c>
    </row>
    <row r="44" spans="1:20" x14ac:dyDescent="0.25">
      <c r="A44" s="2" t="s">
        <v>60</v>
      </c>
      <c r="B44" s="2" t="s">
        <v>116</v>
      </c>
      <c r="C44" s="2">
        <v>77</v>
      </c>
      <c r="D44" s="2">
        <v>69</v>
      </c>
      <c r="E44" s="2">
        <v>61</v>
      </c>
      <c r="F44" s="2">
        <v>53</v>
      </c>
      <c r="G44" s="2">
        <v>96</v>
      </c>
      <c r="H44" s="2">
        <v>88</v>
      </c>
      <c r="I44" s="2">
        <v>80</v>
      </c>
      <c r="J44" s="2">
        <v>72</v>
      </c>
      <c r="K44" s="2">
        <v>64</v>
      </c>
      <c r="L44" s="2">
        <v>56</v>
      </c>
      <c r="M44" s="2">
        <f>SUM(C44:L44)</f>
        <v>716</v>
      </c>
      <c r="N44" s="12">
        <f t="shared" si="4"/>
        <v>71.599999999999994</v>
      </c>
      <c r="O44" s="13" t="str">
        <f t="shared" si="5"/>
        <v>B</v>
      </c>
      <c r="P44" s="2" t="str">
        <f t="shared" si="6"/>
        <v>Pass</v>
      </c>
      <c r="Q44" s="2">
        <f t="shared" si="7"/>
        <v>43</v>
      </c>
      <c r="R44" s="2">
        <f>MAX(C44:L44)</f>
        <v>96</v>
      </c>
      <c r="S44" s="2">
        <f>MIN(C44:L44)</f>
        <v>53</v>
      </c>
      <c r="T44" s="2">
        <v>81</v>
      </c>
    </row>
    <row r="45" spans="1:20" x14ac:dyDescent="0.25">
      <c r="A45" s="2" t="s">
        <v>61</v>
      </c>
      <c r="B45" s="2" t="s">
        <v>117</v>
      </c>
      <c r="C45" s="2">
        <v>80</v>
      </c>
      <c r="D45" s="2">
        <v>73</v>
      </c>
      <c r="E45" s="2">
        <v>66</v>
      </c>
      <c r="F45" s="2">
        <v>59</v>
      </c>
      <c r="G45" s="2">
        <v>52</v>
      </c>
      <c r="H45" s="2">
        <v>96</v>
      </c>
      <c r="I45" s="2">
        <v>89</v>
      </c>
      <c r="J45" s="2">
        <v>82</v>
      </c>
      <c r="K45" s="2">
        <v>75</v>
      </c>
      <c r="L45" s="2">
        <v>68</v>
      </c>
      <c r="M45" s="2">
        <f>SUM(C45:L45)</f>
        <v>740</v>
      </c>
      <c r="N45" s="12">
        <f t="shared" si="4"/>
        <v>74</v>
      </c>
      <c r="O45" s="13" t="str">
        <f t="shared" si="5"/>
        <v>B</v>
      </c>
      <c r="P45" s="2" t="str">
        <f t="shared" si="6"/>
        <v>Pass</v>
      </c>
      <c r="Q45" s="2">
        <f t="shared" si="7"/>
        <v>32</v>
      </c>
      <c r="R45" s="2">
        <f>MAX(C45:L45)</f>
        <v>96</v>
      </c>
      <c r="S45" s="2">
        <f>MIN(C45:L45)</f>
        <v>52</v>
      </c>
      <c r="T45" s="2">
        <v>82</v>
      </c>
    </row>
    <row r="46" spans="1:20" x14ac:dyDescent="0.25">
      <c r="A46" s="2" t="s">
        <v>62</v>
      </c>
      <c r="B46" s="2" t="s">
        <v>118</v>
      </c>
      <c r="C46" s="2">
        <v>83</v>
      </c>
      <c r="D46" s="2">
        <v>77</v>
      </c>
      <c r="E46" s="2">
        <v>71</v>
      </c>
      <c r="F46" s="2">
        <v>65</v>
      </c>
      <c r="G46" s="2">
        <v>59</v>
      </c>
      <c r="H46" s="2">
        <v>53</v>
      </c>
      <c r="I46" s="2">
        <v>98</v>
      </c>
      <c r="J46" s="2">
        <v>92</v>
      </c>
      <c r="K46" s="2">
        <v>86</v>
      </c>
      <c r="L46" s="2">
        <v>80</v>
      </c>
      <c r="M46" s="2">
        <f>SUM(C46:L46)</f>
        <v>764</v>
      </c>
      <c r="N46" s="12">
        <f t="shared" si="4"/>
        <v>76.400000000000006</v>
      </c>
      <c r="O46" s="13" t="str">
        <f t="shared" si="5"/>
        <v>B</v>
      </c>
      <c r="P46" s="2" t="str">
        <f t="shared" si="6"/>
        <v>Pass</v>
      </c>
      <c r="Q46" s="2">
        <f t="shared" si="7"/>
        <v>19</v>
      </c>
      <c r="R46" s="2">
        <f>MAX(C46:L46)</f>
        <v>98</v>
      </c>
      <c r="S46" s="2">
        <f>MIN(C46:L46)</f>
        <v>53</v>
      </c>
      <c r="T46" s="2">
        <v>83</v>
      </c>
    </row>
    <row r="47" spans="1:20" x14ac:dyDescent="0.25">
      <c r="A47" s="2" t="s">
        <v>63</v>
      </c>
      <c r="B47" s="2" t="s">
        <v>119</v>
      </c>
      <c r="C47" s="2">
        <v>86</v>
      </c>
      <c r="D47" s="2">
        <v>81</v>
      </c>
      <c r="E47" s="2">
        <v>76</v>
      </c>
      <c r="F47" s="2">
        <v>71</v>
      </c>
      <c r="G47" s="2">
        <v>66</v>
      </c>
      <c r="H47" s="2">
        <v>61</v>
      </c>
      <c r="I47" s="2">
        <v>56</v>
      </c>
      <c r="J47" s="2">
        <v>51</v>
      </c>
      <c r="K47" s="2">
        <v>97</v>
      </c>
      <c r="L47" s="2">
        <v>92</v>
      </c>
      <c r="M47" s="2">
        <f>SUM(C47:L47)</f>
        <v>737</v>
      </c>
      <c r="N47" s="12">
        <f t="shared" si="4"/>
        <v>73.7</v>
      </c>
      <c r="O47" s="13" t="str">
        <f t="shared" si="5"/>
        <v>B</v>
      </c>
      <c r="P47" s="2" t="str">
        <f t="shared" si="6"/>
        <v>Pass</v>
      </c>
      <c r="Q47" s="2">
        <f t="shared" si="7"/>
        <v>34</v>
      </c>
      <c r="R47" s="2">
        <f>MAX(C47:L47)</f>
        <v>97</v>
      </c>
      <c r="S47" s="2">
        <f>MIN(C47:L47)</f>
        <v>51</v>
      </c>
      <c r="T47" s="2">
        <v>84</v>
      </c>
    </row>
    <row r="48" spans="1:20" x14ac:dyDescent="0.25">
      <c r="A48" s="2" t="s">
        <v>64</v>
      </c>
      <c r="B48" s="2" t="s">
        <v>120</v>
      </c>
      <c r="C48" s="2">
        <v>89</v>
      </c>
      <c r="D48" s="2">
        <v>85</v>
      </c>
      <c r="E48" s="2">
        <v>81</v>
      </c>
      <c r="F48" s="2">
        <v>77</v>
      </c>
      <c r="G48" s="2">
        <v>73</v>
      </c>
      <c r="H48" s="2">
        <v>69</v>
      </c>
      <c r="I48" s="2">
        <v>65</v>
      </c>
      <c r="J48" s="2">
        <v>61</v>
      </c>
      <c r="K48" s="2">
        <v>57</v>
      </c>
      <c r="L48" s="2">
        <v>53</v>
      </c>
      <c r="M48" s="2">
        <f>SUM(C48:L48)</f>
        <v>710</v>
      </c>
      <c r="N48" s="12">
        <f t="shared" si="4"/>
        <v>71</v>
      </c>
      <c r="O48" s="13" t="str">
        <f t="shared" si="5"/>
        <v>B</v>
      </c>
      <c r="P48" s="2" t="str">
        <f t="shared" si="6"/>
        <v>Pass</v>
      </c>
      <c r="Q48" s="2">
        <f t="shared" si="7"/>
        <v>44</v>
      </c>
      <c r="R48" s="2">
        <f>MAX(C48:L48)</f>
        <v>89</v>
      </c>
      <c r="S48" s="2">
        <f>MIN(C48:L48)</f>
        <v>53</v>
      </c>
      <c r="T48" s="2">
        <v>85</v>
      </c>
    </row>
    <row r="49" spans="1:20" x14ac:dyDescent="0.25">
      <c r="A49" s="2" t="s">
        <v>65</v>
      </c>
      <c r="B49" s="2" t="s">
        <v>121</v>
      </c>
      <c r="C49" s="2">
        <v>92</v>
      </c>
      <c r="D49" s="2">
        <v>89</v>
      </c>
      <c r="E49" s="2">
        <v>86</v>
      </c>
      <c r="F49" s="2">
        <v>83</v>
      </c>
      <c r="G49" s="2">
        <v>80</v>
      </c>
      <c r="H49" s="2">
        <v>77</v>
      </c>
      <c r="I49" s="2">
        <v>74</v>
      </c>
      <c r="J49" s="2">
        <v>71</v>
      </c>
      <c r="K49" s="2">
        <v>68</v>
      </c>
      <c r="L49" s="2">
        <v>65</v>
      </c>
      <c r="M49" s="2">
        <f>SUM(C49:L49)</f>
        <v>785</v>
      </c>
      <c r="N49" s="12">
        <f t="shared" si="4"/>
        <v>78.5</v>
      </c>
      <c r="O49" s="13" t="str">
        <f t="shared" si="5"/>
        <v>B</v>
      </c>
      <c r="P49" s="2" t="str">
        <f t="shared" si="6"/>
        <v>Pass</v>
      </c>
      <c r="Q49" s="2">
        <f t="shared" si="7"/>
        <v>10</v>
      </c>
      <c r="R49" s="2">
        <f>MAX(C49:L49)</f>
        <v>92</v>
      </c>
      <c r="S49" s="2">
        <f>MIN(C49:L49)</f>
        <v>65</v>
      </c>
      <c r="T49" s="2">
        <v>86</v>
      </c>
    </row>
    <row r="50" spans="1:20" x14ac:dyDescent="0.25">
      <c r="A50" s="2" t="s">
        <v>66</v>
      </c>
      <c r="B50" s="2" t="s">
        <v>122</v>
      </c>
      <c r="C50" s="2">
        <v>95</v>
      </c>
      <c r="D50" s="2">
        <v>93</v>
      </c>
      <c r="E50" s="2">
        <v>91</v>
      </c>
      <c r="F50" s="2">
        <v>89</v>
      </c>
      <c r="G50" s="2">
        <v>87</v>
      </c>
      <c r="H50" s="2">
        <v>85</v>
      </c>
      <c r="I50" s="2">
        <v>83</v>
      </c>
      <c r="J50" s="2">
        <v>81</v>
      </c>
      <c r="K50" s="2">
        <v>79</v>
      </c>
      <c r="L50" s="2">
        <v>77</v>
      </c>
      <c r="M50" s="2">
        <f>SUM(C50:L50)</f>
        <v>860</v>
      </c>
      <c r="N50" s="12">
        <f t="shared" si="4"/>
        <v>86</v>
      </c>
      <c r="O50" s="13" t="str">
        <f t="shared" si="5"/>
        <v>A</v>
      </c>
      <c r="P50" s="2" t="str">
        <f t="shared" si="6"/>
        <v>Pass</v>
      </c>
      <c r="Q50" s="2">
        <f t="shared" si="7"/>
        <v>2</v>
      </c>
      <c r="R50" s="2">
        <f>MAX(C50:L50)</f>
        <v>95</v>
      </c>
      <c r="S50" s="2">
        <f>MIN(C50:L50)</f>
        <v>77</v>
      </c>
      <c r="T50" s="2">
        <v>87</v>
      </c>
    </row>
    <row r="51" spans="1:20" x14ac:dyDescent="0.25">
      <c r="A51" s="2" t="s">
        <v>67</v>
      </c>
      <c r="B51" s="2" t="s">
        <v>76</v>
      </c>
      <c r="C51" s="2">
        <v>98</v>
      </c>
      <c r="D51" s="2">
        <v>97</v>
      </c>
      <c r="E51" s="2">
        <v>96</v>
      </c>
      <c r="F51" s="2">
        <v>95</v>
      </c>
      <c r="G51" s="2">
        <v>94</v>
      </c>
      <c r="H51" s="2">
        <v>93</v>
      </c>
      <c r="I51" s="2">
        <v>92</v>
      </c>
      <c r="J51" s="2">
        <v>91</v>
      </c>
      <c r="K51" s="2">
        <v>90</v>
      </c>
      <c r="L51" s="2">
        <v>89</v>
      </c>
      <c r="M51" s="2">
        <f>SUM(C51:L51)</f>
        <v>935</v>
      </c>
      <c r="N51" s="12">
        <f t="shared" si="4"/>
        <v>93.5</v>
      </c>
      <c r="O51" s="13" t="str">
        <f t="shared" si="5"/>
        <v>A+</v>
      </c>
      <c r="P51" s="2" t="str">
        <f t="shared" si="6"/>
        <v>Pass</v>
      </c>
      <c r="Q51" s="2">
        <f t="shared" si="7"/>
        <v>1</v>
      </c>
      <c r="R51" s="2">
        <f>MAX(C51:L51)</f>
        <v>98</v>
      </c>
      <c r="S51" s="2">
        <f>MIN(C51:L51)</f>
        <v>89</v>
      </c>
      <c r="T51" s="2">
        <v>88</v>
      </c>
    </row>
    <row r="52" spans="1:20" x14ac:dyDescent="0.25">
      <c r="A52" s="2" t="s">
        <v>68</v>
      </c>
      <c r="B52" s="2" t="s">
        <v>123</v>
      </c>
      <c r="C52" s="2">
        <v>50</v>
      </c>
      <c r="D52" s="2">
        <v>49</v>
      </c>
      <c r="E52" s="2">
        <v>50</v>
      </c>
      <c r="F52" s="2">
        <v>46</v>
      </c>
      <c r="G52" s="2">
        <v>50</v>
      </c>
      <c r="H52" s="2">
        <v>45</v>
      </c>
      <c r="I52" s="2">
        <v>50</v>
      </c>
      <c r="J52" s="2">
        <v>50</v>
      </c>
      <c r="K52" s="2">
        <v>44</v>
      </c>
      <c r="L52" s="2">
        <v>50</v>
      </c>
      <c r="M52" s="2">
        <f>SUM(C52:L52)</f>
        <v>484</v>
      </c>
      <c r="N52" s="12">
        <f t="shared" si="4"/>
        <v>48.4</v>
      </c>
      <c r="O52" s="13" t="str">
        <f t="shared" si="5"/>
        <v>F</v>
      </c>
      <c r="P52" s="2" t="str">
        <f t="shared" si="6"/>
        <v>Fail</v>
      </c>
      <c r="Q52" s="2">
        <f t="shared" si="7"/>
        <v>48</v>
      </c>
      <c r="R52" s="2">
        <f>MAX(C52:L52)</f>
        <v>50</v>
      </c>
      <c r="S52" s="2">
        <f>MIN(C52:L52)</f>
        <v>44</v>
      </c>
      <c r="T52" s="2">
        <v>89</v>
      </c>
    </row>
  </sheetData>
  <autoFilter ref="A2:T52"/>
  <mergeCells count="1">
    <mergeCell ref="C1:P1"/>
  </mergeCells>
  <conditionalFormatting sqref="N3:N52">
    <cfRule type="cellIs" dxfId="3" priority="4" operator="greaterThan">
      <formula>50</formula>
    </cfRule>
    <cfRule type="cellIs" dxfId="2" priority="3" operator="lessThan">
      <formula>50</formula>
    </cfRule>
  </conditionalFormatting>
  <conditionalFormatting sqref="P3:P52">
    <cfRule type="containsText" dxfId="0" priority="2" operator="containsText" text="fail">
      <formula>NOT(ISERROR(SEARCH("fail",P3)))</formula>
    </cfRule>
    <cfRule type="containsText" dxfId="1" priority="1" operator="containsText" text="pass">
      <formula>NOT(ISERROR(SEARCH("pass",P3)))</formula>
    </cfRule>
  </conditionalFormatting>
  <dataValidations count="1">
    <dataValidation type="whole" sqref="C3:L52">
      <formula1>0</formula1>
      <formula2>100</formula2>
    </dataValidation>
  </dataValidation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64"/>
  <sheetViews>
    <sheetView workbookViewId="0">
      <selection activeCell="A20" sqref="A20"/>
    </sheetView>
  </sheetViews>
  <sheetFormatPr defaultRowHeight="15" x14ac:dyDescent="0.25"/>
  <cols>
    <col min="1" max="1" width="18.7109375" customWidth="1"/>
    <col min="2" max="2" width="11" customWidth="1"/>
  </cols>
  <sheetData>
    <row r="1" spans="1:5" ht="18.75" x14ac:dyDescent="0.3">
      <c r="A1" s="1" t="s">
        <v>70</v>
      </c>
      <c r="D1" t="s">
        <v>71</v>
      </c>
      <c r="E1" t="s">
        <v>72</v>
      </c>
    </row>
    <row r="2" spans="1:5" x14ac:dyDescent="0.25">
      <c r="D2" t="s">
        <v>2</v>
      </c>
      <c r="E2">
        <f>AVERAGE('Grade Management'!C3:C52)</f>
        <v>72.44</v>
      </c>
    </row>
    <row r="3" spans="1:5" x14ac:dyDescent="0.25">
      <c r="A3" t="s">
        <v>73</v>
      </c>
      <c r="B3" t="str">
        <f>INDEX('Grade Management'!B3:B52,MATCH(MAX('Grade Management'!N3:N52),'Grade Management'!N3:N52,0))</f>
        <v>Zohan khan</v>
      </c>
      <c r="D3" t="s">
        <v>3</v>
      </c>
      <c r="E3">
        <f>AVERAGE('Grade Management'!D3:D52)</f>
        <v>74.680000000000007</v>
      </c>
    </row>
    <row r="4" spans="1:5" x14ac:dyDescent="0.25">
      <c r="A4" t="s">
        <v>74</v>
      </c>
      <c r="B4">
        <f>MAX('Grade Management'!N3:N52)</f>
        <v>93.5</v>
      </c>
      <c r="D4" t="s">
        <v>4</v>
      </c>
      <c r="E4">
        <f>AVERAGE('Grade Management'!E3:E52)</f>
        <v>73.959999999999994</v>
      </c>
    </row>
    <row r="5" spans="1:5" x14ac:dyDescent="0.25">
      <c r="A5" t="s">
        <v>75</v>
      </c>
      <c r="B5">
        <f>AVERAGE('Grade Management'!N3:N52)</f>
        <v>73.662000000000006</v>
      </c>
      <c r="D5" t="s">
        <v>5</v>
      </c>
      <c r="E5">
        <f>AVERAGE('Grade Management'!F3:F52)</f>
        <v>73.7</v>
      </c>
    </row>
    <row r="6" spans="1:5" x14ac:dyDescent="0.25">
      <c r="D6" t="s">
        <v>6</v>
      </c>
      <c r="E6">
        <f>AVERAGE('Grade Management'!G3:G52)</f>
        <v>73.459999999999994</v>
      </c>
    </row>
    <row r="7" spans="1:5" x14ac:dyDescent="0.25">
      <c r="D7" t="s">
        <v>7</v>
      </c>
      <c r="E7">
        <f>AVERAGE('Grade Management'!H3:H52)</f>
        <v>74.260000000000005</v>
      </c>
    </row>
    <row r="8" spans="1:5" x14ac:dyDescent="0.25">
      <c r="D8" t="s">
        <v>8</v>
      </c>
      <c r="E8">
        <f>AVERAGE('Grade Management'!I3:I52)</f>
        <v>73.3</v>
      </c>
    </row>
    <row r="9" spans="1:5" x14ac:dyDescent="0.25">
      <c r="D9" t="s">
        <v>9</v>
      </c>
      <c r="E9">
        <f>AVERAGE('Grade Management'!J3:J52)</f>
        <v>74.28</v>
      </c>
    </row>
    <row r="10" spans="1:5" x14ac:dyDescent="0.25">
      <c r="D10" t="s">
        <v>10</v>
      </c>
      <c r="E10">
        <f>AVERAGE('Grade Management'!K3:K52)</f>
        <v>72.84</v>
      </c>
    </row>
    <row r="11" spans="1:5" x14ac:dyDescent="0.25">
      <c r="D11" t="s">
        <v>11</v>
      </c>
      <c r="E11">
        <f>AVERAGE('Grade Management'!L3:L52)</f>
        <v>73.7</v>
      </c>
    </row>
    <row r="15" spans="1:5" x14ac:dyDescent="0.25">
      <c r="A15" t="s">
        <v>103</v>
      </c>
    </row>
    <row r="16" spans="1:5" hidden="1" x14ac:dyDescent="0.25">
      <c r="A16" t="s">
        <v>77</v>
      </c>
    </row>
    <row r="17" spans="1:1" hidden="1" x14ac:dyDescent="0.25">
      <c r="A17" t="s">
        <v>78</v>
      </c>
    </row>
    <row r="18" spans="1:1" hidden="1" x14ac:dyDescent="0.25">
      <c r="A18" t="s">
        <v>79</v>
      </c>
    </row>
    <row r="19" spans="1:1" hidden="1" x14ac:dyDescent="0.25">
      <c r="A19" t="s">
        <v>80</v>
      </c>
    </row>
    <row r="20" spans="1:1" x14ac:dyDescent="0.25">
      <c r="A20" t="s">
        <v>81</v>
      </c>
    </row>
    <row r="21" spans="1:1" hidden="1" x14ac:dyDescent="0.25">
      <c r="A21" t="s">
        <v>82</v>
      </c>
    </row>
    <row r="22" spans="1:1" hidden="1" x14ac:dyDescent="0.25">
      <c r="A22" t="s">
        <v>83</v>
      </c>
    </row>
    <row r="23" spans="1:1" hidden="1" x14ac:dyDescent="0.25">
      <c r="A23" t="s">
        <v>84</v>
      </c>
    </row>
    <row r="24" spans="1:1" hidden="1" x14ac:dyDescent="0.25">
      <c r="A24" t="s">
        <v>85</v>
      </c>
    </row>
    <row r="25" spans="1:1" hidden="1" x14ac:dyDescent="0.25">
      <c r="A25" t="s">
        <v>86</v>
      </c>
    </row>
    <row r="26" spans="1:1" hidden="1" x14ac:dyDescent="0.25">
      <c r="A26" t="s">
        <v>87</v>
      </c>
    </row>
    <row r="27" spans="1:1" hidden="1" x14ac:dyDescent="0.25">
      <c r="A27" t="s">
        <v>88</v>
      </c>
    </row>
    <row r="28" spans="1:1" hidden="1" x14ac:dyDescent="0.25">
      <c r="A28" t="s">
        <v>89</v>
      </c>
    </row>
    <row r="29" spans="1:1" hidden="1" x14ac:dyDescent="0.25">
      <c r="A29" t="s">
        <v>90</v>
      </c>
    </row>
    <row r="30" spans="1:1" hidden="1" x14ac:dyDescent="0.25">
      <c r="A30" t="s">
        <v>91</v>
      </c>
    </row>
    <row r="31" spans="1:1" hidden="1" x14ac:dyDescent="0.25">
      <c r="A31" t="s">
        <v>92</v>
      </c>
    </row>
    <row r="32" spans="1:1" hidden="1" x14ac:dyDescent="0.25">
      <c r="A32" t="s">
        <v>93</v>
      </c>
    </row>
    <row r="33" spans="1:1" hidden="1" x14ac:dyDescent="0.25">
      <c r="A33" t="s">
        <v>94</v>
      </c>
    </row>
    <row r="34" spans="1:1" hidden="1" x14ac:dyDescent="0.25">
      <c r="A34" t="s">
        <v>95</v>
      </c>
    </row>
    <row r="35" spans="1:1" hidden="1" x14ac:dyDescent="0.25">
      <c r="A35" t="s">
        <v>96</v>
      </c>
    </row>
    <row r="36" spans="1:1" hidden="1" x14ac:dyDescent="0.25">
      <c r="A36" t="s">
        <v>97</v>
      </c>
    </row>
    <row r="37" spans="1:1" hidden="1" x14ac:dyDescent="0.25">
      <c r="A37" t="s">
        <v>98</v>
      </c>
    </row>
    <row r="38" spans="1:1" hidden="1" x14ac:dyDescent="0.25">
      <c r="A38" t="s">
        <v>99</v>
      </c>
    </row>
    <row r="39" spans="1:1" hidden="1" x14ac:dyDescent="0.25">
      <c r="A39" t="s">
        <v>100</v>
      </c>
    </row>
    <row r="40" spans="1:1" hidden="1" x14ac:dyDescent="0.25">
      <c r="A40" t="s">
        <v>101</v>
      </c>
    </row>
    <row r="41" spans="1:1" hidden="1" x14ac:dyDescent="0.25">
      <c r="A41" t="s">
        <v>102</v>
      </c>
    </row>
    <row r="42" spans="1:1" hidden="1" x14ac:dyDescent="0.25">
      <c r="A42" t="s">
        <v>99</v>
      </c>
    </row>
    <row r="43" spans="1:1" hidden="1" x14ac:dyDescent="0.25">
      <c r="A43" t="s">
        <v>103</v>
      </c>
    </row>
    <row r="44" spans="1:1" hidden="1" x14ac:dyDescent="0.25">
      <c r="A44" t="s">
        <v>104</v>
      </c>
    </row>
    <row r="45" spans="1:1" hidden="1" x14ac:dyDescent="0.25">
      <c r="A45" t="s">
        <v>105</v>
      </c>
    </row>
    <row r="46" spans="1:1" hidden="1" x14ac:dyDescent="0.25">
      <c r="A46" t="s">
        <v>106</v>
      </c>
    </row>
    <row r="47" spans="1:1" hidden="1" x14ac:dyDescent="0.25">
      <c r="A47" t="s">
        <v>107</v>
      </c>
    </row>
    <row r="48" spans="1:1" hidden="1" x14ac:dyDescent="0.25">
      <c r="A48" t="s">
        <v>108</v>
      </c>
    </row>
    <row r="49" spans="1:1" hidden="1" x14ac:dyDescent="0.25">
      <c r="A49" t="s">
        <v>109</v>
      </c>
    </row>
    <row r="50" spans="1:1" hidden="1" x14ac:dyDescent="0.25">
      <c r="A50" t="s">
        <v>110</v>
      </c>
    </row>
    <row r="51" spans="1:1" hidden="1" x14ac:dyDescent="0.25">
      <c r="A51" t="s">
        <v>111</v>
      </c>
    </row>
    <row r="52" spans="1:1" hidden="1" x14ac:dyDescent="0.25">
      <c r="A52" t="s">
        <v>112</v>
      </c>
    </row>
    <row r="53" spans="1:1" hidden="1" x14ac:dyDescent="0.25">
      <c r="A53" t="s">
        <v>113</v>
      </c>
    </row>
    <row r="54" spans="1:1" hidden="1" x14ac:dyDescent="0.25">
      <c r="A54" t="s">
        <v>114</v>
      </c>
    </row>
    <row r="55" spans="1:1" hidden="1" x14ac:dyDescent="0.25">
      <c r="A55" t="s">
        <v>115</v>
      </c>
    </row>
    <row r="56" spans="1:1" hidden="1" x14ac:dyDescent="0.25">
      <c r="A56" t="s">
        <v>116</v>
      </c>
    </row>
    <row r="57" spans="1:1" hidden="1" x14ac:dyDescent="0.25">
      <c r="A57" t="s">
        <v>117</v>
      </c>
    </row>
    <row r="58" spans="1:1" hidden="1" x14ac:dyDescent="0.25">
      <c r="A58" t="s">
        <v>118</v>
      </c>
    </row>
    <row r="59" spans="1:1" hidden="1" x14ac:dyDescent="0.25">
      <c r="A59" t="s">
        <v>119</v>
      </c>
    </row>
    <row r="60" spans="1:1" hidden="1" x14ac:dyDescent="0.25">
      <c r="A60" t="s">
        <v>120</v>
      </c>
    </row>
    <row r="61" spans="1:1" hidden="1" x14ac:dyDescent="0.25">
      <c r="A61" t="s">
        <v>121</v>
      </c>
    </row>
    <row r="62" spans="1:1" hidden="1" x14ac:dyDescent="0.25">
      <c r="A62" t="s">
        <v>122</v>
      </c>
    </row>
    <row r="63" spans="1:1" hidden="1" x14ac:dyDescent="0.25">
      <c r="A63" t="s">
        <v>76</v>
      </c>
    </row>
    <row r="64" spans="1:1" hidden="1" x14ac:dyDescent="0.25">
      <c r="A64" t="s">
        <v>123</v>
      </c>
    </row>
  </sheetData>
  <autoFilter ref="A15:A64">
    <filterColumn colId="0">
      <filters>
        <filter val="Aiza Nabeel"/>
      </filters>
    </filterColumn>
  </autoFilter>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A7" sqref="A7"/>
    </sheetView>
  </sheetViews>
  <sheetFormatPr defaultRowHeight="15" x14ac:dyDescent="0.25"/>
  <cols>
    <col min="1" max="1" width="13.42578125" customWidth="1"/>
    <col min="2" max="2" width="12" bestFit="1" customWidth="1"/>
    <col min="3" max="3" width="17.85546875" bestFit="1" customWidth="1"/>
    <col min="4" max="4" width="11.85546875" bestFit="1" customWidth="1"/>
    <col min="5" max="5" width="20.140625" bestFit="1" customWidth="1"/>
  </cols>
  <sheetData>
    <row r="3" spans="1:5" x14ac:dyDescent="0.25">
      <c r="A3" s="7" t="s">
        <v>131</v>
      </c>
      <c r="B3" t="s">
        <v>133</v>
      </c>
      <c r="C3" t="s">
        <v>134</v>
      </c>
      <c r="D3" t="s">
        <v>135</v>
      </c>
      <c r="E3" t="s">
        <v>136</v>
      </c>
    </row>
    <row r="4" spans="1:5" x14ac:dyDescent="0.25">
      <c r="A4" s="8" t="s">
        <v>81</v>
      </c>
      <c r="B4" s="9">
        <v>770</v>
      </c>
      <c r="C4" s="9">
        <v>77</v>
      </c>
      <c r="D4" s="9">
        <v>16</v>
      </c>
      <c r="E4" s="9">
        <v>87</v>
      </c>
    </row>
    <row r="5" spans="1:5" x14ac:dyDescent="0.25">
      <c r="A5" s="10" t="s">
        <v>127</v>
      </c>
      <c r="B5" s="9">
        <v>770</v>
      </c>
      <c r="C5" s="9">
        <v>77</v>
      </c>
      <c r="D5" s="9">
        <v>16</v>
      </c>
      <c r="E5" s="9">
        <v>87</v>
      </c>
    </row>
    <row r="6" spans="1:5" x14ac:dyDescent="0.25">
      <c r="A6" s="11" t="s">
        <v>126</v>
      </c>
      <c r="B6" s="9">
        <v>770</v>
      </c>
      <c r="C6" s="9">
        <v>77</v>
      </c>
      <c r="D6" s="9">
        <v>16</v>
      </c>
      <c r="E6" s="9">
        <v>87</v>
      </c>
    </row>
    <row r="7" spans="1:5" x14ac:dyDescent="0.25">
      <c r="A7" s="8" t="s">
        <v>84</v>
      </c>
      <c r="B7" s="9">
        <v>791</v>
      </c>
      <c r="C7" s="9">
        <v>79.100000000000009</v>
      </c>
      <c r="D7" s="9">
        <v>7</v>
      </c>
      <c r="E7" s="9">
        <v>90</v>
      </c>
    </row>
    <row r="8" spans="1:5" x14ac:dyDescent="0.25">
      <c r="A8" s="8" t="s">
        <v>132</v>
      </c>
      <c r="B8" s="9">
        <v>1561</v>
      </c>
      <c r="C8" s="9">
        <v>156.10000000000002</v>
      </c>
      <c r="D8" s="9">
        <v>23</v>
      </c>
      <c r="E8" s="9">
        <v>177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7"/>
  <sheetViews>
    <sheetView tabSelected="1" topLeftCell="A115" workbookViewId="0">
      <selection activeCell="A221" sqref="A221"/>
    </sheetView>
  </sheetViews>
  <sheetFormatPr defaultRowHeight="15" x14ac:dyDescent="0.25"/>
  <sheetData>
    <row r="3" spans="1:1" ht="25.5" x14ac:dyDescent="0.25">
      <c r="A3" s="14" t="s">
        <v>137</v>
      </c>
    </row>
    <row r="4" spans="1:1" ht="20.25" x14ac:dyDescent="0.25">
      <c r="A4" s="15" t="s">
        <v>138</v>
      </c>
    </row>
    <row r="5" spans="1:1" ht="18" x14ac:dyDescent="0.25">
      <c r="A5" s="16" t="s">
        <v>139</v>
      </c>
    </row>
    <row r="6" spans="1:1" ht="15.75" x14ac:dyDescent="0.25">
      <c r="A6" s="17" t="s">
        <v>140</v>
      </c>
    </row>
    <row r="7" spans="1:1" ht="15.75" x14ac:dyDescent="0.25">
      <c r="A7" s="17" t="s">
        <v>141</v>
      </c>
    </row>
    <row r="8" spans="1:1" ht="15.75" x14ac:dyDescent="0.25">
      <c r="A8" s="17" t="s">
        <v>142</v>
      </c>
    </row>
    <row r="11" spans="1:1" ht="25.5" x14ac:dyDescent="0.25">
      <c r="A11" s="14" t="s">
        <v>143</v>
      </c>
    </row>
    <row r="12" spans="1:1" x14ac:dyDescent="0.25">
      <c r="A12" s="18" t="s">
        <v>144</v>
      </c>
    </row>
    <row r="13" spans="1:1" x14ac:dyDescent="0.25">
      <c r="A13" s="18" t="s">
        <v>145</v>
      </c>
    </row>
    <row r="16" spans="1:1" ht="25.5" x14ac:dyDescent="0.25">
      <c r="A16" s="14" t="s">
        <v>146</v>
      </c>
    </row>
    <row r="17" spans="1:1" x14ac:dyDescent="0.25">
      <c r="A17" s="18" t="s">
        <v>147</v>
      </c>
    </row>
    <row r="18" spans="1:1" x14ac:dyDescent="0.25">
      <c r="A18" s="18" t="s">
        <v>148</v>
      </c>
    </row>
    <row r="19" spans="1:1" ht="15.75" x14ac:dyDescent="0.25">
      <c r="A19" s="19" t="s">
        <v>149</v>
      </c>
    </row>
    <row r="20" spans="1:1" ht="15.75" x14ac:dyDescent="0.25">
      <c r="A20" s="19" t="s">
        <v>150</v>
      </c>
    </row>
    <row r="21" spans="1:1" ht="15.75" x14ac:dyDescent="0.25">
      <c r="A21" s="19" t="s">
        <v>151</v>
      </c>
    </row>
    <row r="22" spans="1:1" ht="15.75" x14ac:dyDescent="0.25">
      <c r="A22" s="19" t="s">
        <v>152</v>
      </c>
    </row>
    <row r="23" spans="1:1" ht="15.75" x14ac:dyDescent="0.25">
      <c r="A23" s="19" t="s">
        <v>153</v>
      </c>
    </row>
    <row r="24" spans="1:1" ht="15.75" x14ac:dyDescent="0.25">
      <c r="A24" s="19" t="s">
        <v>154</v>
      </c>
    </row>
    <row r="25" spans="1:1" ht="15.75" x14ac:dyDescent="0.25">
      <c r="A25" s="19" t="s">
        <v>155</v>
      </c>
    </row>
    <row r="26" spans="1:1" x14ac:dyDescent="0.25">
      <c r="A26" s="18" t="s">
        <v>156</v>
      </c>
    </row>
    <row r="29" spans="1:1" ht="25.5" x14ac:dyDescent="0.25">
      <c r="A29" s="14" t="s">
        <v>157</v>
      </c>
    </row>
    <row r="30" spans="1:1" x14ac:dyDescent="0.25">
      <c r="A30" s="18" t="s">
        <v>158</v>
      </c>
    </row>
    <row r="31" spans="1:1" x14ac:dyDescent="0.25">
      <c r="A31" s="20" t="s">
        <v>159</v>
      </c>
    </row>
    <row r="32" spans="1:1" x14ac:dyDescent="0.25">
      <c r="A32" s="20" t="s">
        <v>160</v>
      </c>
    </row>
    <row r="33" spans="1:1" x14ac:dyDescent="0.25">
      <c r="A33" s="20" t="s">
        <v>161</v>
      </c>
    </row>
    <row r="34" spans="1:1" x14ac:dyDescent="0.25">
      <c r="A34" s="20" t="s">
        <v>162</v>
      </c>
    </row>
    <row r="35" spans="1:1" x14ac:dyDescent="0.25">
      <c r="A35" s="20" t="s">
        <v>163</v>
      </c>
    </row>
    <row r="36" spans="1:1" x14ac:dyDescent="0.25">
      <c r="A36" s="20" t="s">
        <v>164</v>
      </c>
    </row>
    <row r="37" spans="1:1" x14ac:dyDescent="0.25">
      <c r="A37" s="20" t="s">
        <v>165</v>
      </c>
    </row>
    <row r="38" spans="1:1" x14ac:dyDescent="0.25">
      <c r="A38" s="20" t="s">
        <v>166</v>
      </c>
    </row>
    <row r="39" spans="1:1" x14ac:dyDescent="0.25">
      <c r="A39" s="20" t="s">
        <v>167</v>
      </c>
    </row>
    <row r="40" spans="1:1" x14ac:dyDescent="0.25">
      <c r="A40" s="20" t="s">
        <v>168</v>
      </c>
    </row>
    <row r="43" spans="1:1" ht="25.5" x14ac:dyDescent="0.25">
      <c r="A43" s="14" t="s">
        <v>169</v>
      </c>
    </row>
    <row r="44" spans="1:1" x14ac:dyDescent="0.25">
      <c r="A44" s="18" t="s">
        <v>170</v>
      </c>
    </row>
    <row r="45" spans="1:1" ht="15.75" x14ac:dyDescent="0.25">
      <c r="A45" s="19" t="s">
        <v>171</v>
      </c>
    </row>
    <row r="46" spans="1:1" ht="15.75" x14ac:dyDescent="0.25">
      <c r="A46" s="19" t="s">
        <v>172</v>
      </c>
    </row>
    <row r="47" spans="1:1" ht="15.75" x14ac:dyDescent="0.25">
      <c r="A47" s="19" t="s">
        <v>173</v>
      </c>
    </row>
    <row r="48" spans="1:1" ht="15.75" x14ac:dyDescent="0.25">
      <c r="A48" s="19" t="s">
        <v>174</v>
      </c>
    </row>
    <row r="49" spans="1:2" ht="15.75" x14ac:dyDescent="0.25">
      <c r="A49" s="19" t="s">
        <v>175</v>
      </c>
    </row>
    <row r="50" spans="1:2" x14ac:dyDescent="0.25">
      <c r="A50" s="18" t="s">
        <v>176</v>
      </c>
    </row>
    <row r="51" spans="1:2" ht="15.75" x14ac:dyDescent="0.25">
      <c r="A51" s="19" t="s">
        <v>177</v>
      </c>
    </row>
    <row r="52" spans="1:2" ht="15.75" x14ac:dyDescent="0.25">
      <c r="A52" s="19" t="s">
        <v>178</v>
      </c>
    </row>
    <row r="53" spans="1:2" ht="15.75" x14ac:dyDescent="0.25">
      <c r="A53" s="19" t="s">
        <v>179</v>
      </c>
    </row>
    <row r="54" spans="1:2" ht="15.75" x14ac:dyDescent="0.25">
      <c r="A54" s="19" t="s">
        <v>180</v>
      </c>
    </row>
    <row r="55" spans="1:2" ht="15.75" x14ac:dyDescent="0.25">
      <c r="A55" s="19" t="s">
        <v>181</v>
      </c>
    </row>
    <row r="56" spans="1:2" ht="15.75" thickBot="1" x14ac:dyDescent="0.3">
      <c r="A56" s="21"/>
      <c r="B56" s="21"/>
    </row>
    <row r="57" spans="1:2" x14ac:dyDescent="0.25">
      <c r="A57" s="22"/>
      <c r="B57" s="22"/>
    </row>
    <row r="58" spans="1:2" x14ac:dyDescent="0.25">
      <c r="A58" s="22"/>
      <c r="B58" s="22"/>
    </row>
    <row r="59" spans="1:2" x14ac:dyDescent="0.25">
      <c r="A59" s="22"/>
      <c r="B59" s="22"/>
    </row>
    <row r="60" spans="1:2" x14ac:dyDescent="0.25">
      <c r="A60" s="22"/>
      <c r="B60" s="22"/>
    </row>
    <row r="63" spans="1:2" ht="25.5" x14ac:dyDescent="0.25">
      <c r="A63" s="14" t="s">
        <v>182</v>
      </c>
    </row>
    <row r="64" spans="1:2" ht="20.25" x14ac:dyDescent="0.25">
      <c r="A64" s="15" t="s">
        <v>183</v>
      </c>
    </row>
    <row r="65" spans="1:1" x14ac:dyDescent="0.25">
      <c r="A65" s="18" t="s">
        <v>184</v>
      </c>
    </row>
    <row r="66" spans="1:1" ht="15.75" x14ac:dyDescent="0.25">
      <c r="A66" s="19" t="s">
        <v>185</v>
      </c>
    </row>
    <row r="67" spans="1:1" ht="15.75" x14ac:dyDescent="0.25">
      <c r="A67" s="19" t="s">
        <v>186</v>
      </c>
    </row>
    <row r="68" spans="1:1" ht="15.75" x14ac:dyDescent="0.25">
      <c r="A68" s="19" t="s">
        <v>187</v>
      </c>
    </row>
    <row r="69" spans="1:1" ht="20.25" x14ac:dyDescent="0.25">
      <c r="A69" s="15" t="s">
        <v>188</v>
      </c>
    </row>
    <row r="70" spans="1:1" x14ac:dyDescent="0.25">
      <c r="A70" s="18" t="s">
        <v>189</v>
      </c>
    </row>
    <row r="71" spans="1:1" x14ac:dyDescent="0.25">
      <c r="A71" s="20" t="s">
        <v>190</v>
      </c>
    </row>
    <row r="72" spans="1:1" x14ac:dyDescent="0.25">
      <c r="A72" s="20" t="s">
        <v>191</v>
      </c>
    </row>
    <row r="73" spans="1:1" x14ac:dyDescent="0.25">
      <c r="A73" s="20" t="s">
        <v>192</v>
      </c>
    </row>
    <row r="74" spans="1:1" x14ac:dyDescent="0.25">
      <c r="A74" s="20" t="s">
        <v>193</v>
      </c>
    </row>
    <row r="75" spans="1:1" x14ac:dyDescent="0.25">
      <c r="A75" s="20" t="s">
        <v>194</v>
      </c>
    </row>
    <row r="76" spans="1:1" x14ac:dyDescent="0.25">
      <c r="A76" s="20" t="s">
        <v>195</v>
      </c>
    </row>
    <row r="77" spans="1:1" x14ac:dyDescent="0.25">
      <c r="A77" s="20" t="s">
        <v>196</v>
      </c>
    </row>
    <row r="78" spans="1:1" x14ac:dyDescent="0.25">
      <c r="A78" s="20" t="s">
        <v>197</v>
      </c>
    </row>
    <row r="79" spans="1:1" x14ac:dyDescent="0.25">
      <c r="A79" s="20" t="s">
        <v>198</v>
      </c>
    </row>
    <row r="80" spans="1:1" x14ac:dyDescent="0.25">
      <c r="A80" s="20" t="s">
        <v>199</v>
      </c>
    </row>
    <row r="83" spans="1:2" ht="20.25" x14ac:dyDescent="0.25">
      <c r="A83" s="15" t="s">
        <v>200</v>
      </c>
    </row>
    <row r="84" spans="1:2" ht="18" x14ac:dyDescent="0.25">
      <c r="A84" s="16" t="s">
        <v>201</v>
      </c>
    </row>
    <row r="85" spans="1:2" x14ac:dyDescent="0.25">
      <c r="A85" s="18" t="s">
        <v>202</v>
      </c>
    </row>
    <row r="86" spans="1:2" x14ac:dyDescent="0.25">
      <c r="A86" s="18">
        <f>SUM(C2:L2)</f>
        <v>0</v>
      </c>
    </row>
    <row r="87" spans="1:2" ht="18" x14ac:dyDescent="0.25">
      <c r="A87" s="16" t="s">
        <v>13</v>
      </c>
    </row>
    <row r="88" spans="1:2" x14ac:dyDescent="0.25">
      <c r="A88" s="18" t="s">
        <v>203</v>
      </c>
    </row>
    <row r="89" spans="1:2" x14ac:dyDescent="0.25">
      <c r="A89" s="18" t="s">
        <v>204</v>
      </c>
    </row>
    <row r="92" spans="1:2" ht="20.25" x14ac:dyDescent="0.25">
      <c r="A92" s="15" t="s">
        <v>205</v>
      </c>
    </row>
    <row r="93" spans="1:2" ht="30.75" thickBot="1" x14ac:dyDescent="0.3">
      <c r="A93" s="21" t="s">
        <v>13</v>
      </c>
      <c r="B93" s="21" t="s">
        <v>14</v>
      </c>
    </row>
    <row r="94" spans="1:2" ht="30" x14ac:dyDescent="0.25">
      <c r="A94" s="22" t="s">
        <v>206</v>
      </c>
      <c r="B94" s="22" t="s">
        <v>129</v>
      </c>
    </row>
    <row r="95" spans="1:2" x14ac:dyDescent="0.25">
      <c r="A95" s="22" t="s">
        <v>207</v>
      </c>
      <c r="B95" s="22" t="s">
        <v>128</v>
      </c>
    </row>
    <row r="96" spans="1:2" x14ac:dyDescent="0.25">
      <c r="A96" s="22" t="s">
        <v>208</v>
      </c>
      <c r="B96" s="22" t="s">
        <v>127</v>
      </c>
    </row>
    <row r="97" spans="1:2" x14ac:dyDescent="0.25">
      <c r="A97" s="22" t="s">
        <v>209</v>
      </c>
      <c r="B97" s="22" t="s">
        <v>125</v>
      </c>
    </row>
    <row r="98" spans="1:2" x14ac:dyDescent="0.25">
      <c r="A98" s="22" t="s">
        <v>210</v>
      </c>
      <c r="B98" s="22" t="s">
        <v>130</v>
      </c>
    </row>
    <row r="99" spans="1:2" ht="30" x14ac:dyDescent="0.25">
      <c r="A99" s="22" t="s">
        <v>211</v>
      </c>
      <c r="B99" s="22" t="s">
        <v>212</v>
      </c>
    </row>
    <row r="102" spans="1:2" ht="20.25" x14ac:dyDescent="0.25">
      <c r="A102" s="15" t="s">
        <v>213</v>
      </c>
    </row>
    <row r="103" spans="1:2" x14ac:dyDescent="0.25">
      <c r="A103" s="18" t="s">
        <v>214</v>
      </c>
    </row>
    <row r="104" spans="1:2" ht="15.75" x14ac:dyDescent="0.25">
      <c r="A104" s="19" t="s">
        <v>215</v>
      </c>
    </row>
    <row r="105" spans="1:2" ht="15.75" x14ac:dyDescent="0.25">
      <c r="A105" s="19" t="s">
        <v>216</v>
      </c>
    </row>
    <row r="106" spans="1:2" x14ac:dyDescent="0.25">
      <c r="A106" s="18" t="s">
        <v>217</v>
      </c>
    </row>
    <row r="109" spans="1:2" ht="20.25" x14ac:dyDescent="0.25">
      <c r="A109" s="15" t="s">
        <v>218</v>
      </c>
    </row>
    <row r="110" spans="1:2" x14ac:dyDescent="0.25">
      <c r="A110" s="18" t="s">
        <v>219</v>
      </c>
    </row>
    <row r="111" spans="1:2" x14ac:dyDescent="0.25">
      <c r="A111" s="18" t="s">
        <v>220</v>
      </c>
    </row>
    <row r="112" spans="1:2" x14ac:dyDescent="0.25">
      <c r="A112" s="18" t="s">
        <v>221</v>
      </c>
    </row>
    <row r="113" spans="1:1" x14ac:dyDescent="0.25">
      <c r="A113" s="18" t="s">
        <v>222</v>
      </c>
    </row>
    <row r="116" spans="1:1" ht="20.25" x14ac:dyDescent="0.25">
      <c r="A116" s="15" t="s">
        <v>223</v>
      </c>
    </row>
    <row r="117" spans="1:1" x14ac:dyDescent="0.25">
      <c r="A117" s="18" t="s">
        <v>224</v>
      </c>
    </row>
    <row r="118" spans="1:1" x14ac:dyDescent="0.25">
      <c r="A118" s="18" t="s">
        <v>225</v>
      </c>
    </row>
    <row r="119" spans="1:1" x14ac:dyDescent="0.25">
      <c r="A119" s="18" t="s">
        <v>226</v>
      </c>
    </row>
    <row r="122" spans="1:1" ht="20.25" x14ac:dyDescent="0.25">
      <c r="A122" s="15" t="s">
        <v>227</v>
      </c>
    </row>
    <row r="123" spans="1:1" x14ac:dyDescent="0.25">
      <c r="A123" s="18" t="s">
        <v>228</v>
      </c>
    </row>
    <row r="124" spans="1:1" ht="15.75" x14ac:dyDescent="0.25">
      <c r="A124" s="19" t="s">
        <v>185</v>
      </c>
    </row>
    <row r="125" spans="1:1" ht="15.75" x14ac:dyDescent="0.25">
      <c r="A125" s="19" t="s">
        <v>186</v>
      </c>
    </row>
    <row r="126" spans="1:1" ht="15.75" x14ac:dyDescent="0.25">
      <c r="A126" s="19" t="s">
        <v>229</v>
      </c>
    </row>
    <row r="127" spans="1:1" x14ac:dyDescent="0.25">
      <c r="A127" s="18" t="s">
        <v>230</v>
      </c>
    </row>
    <row r="130" spans="1:1" ht="20.25" x14ac:dyDescent="0.25">
      <c r="A130" s="15" t="s">
        <v>231</v>
      </c>
    </row>
    <row r="131" spans="1:1" x14ac:dyDescent="0.25">
      <c r="A131" s="18" t="s">
        <v>232</v>
      </c>
    </row>
    <row r="132" spans="1:1" ht="18" x14ac:dyDescent="0.25">
      <c r="A132" s="16" t="s">
        <v>233</v>
      </c>
    </row>
    <row r="133" spans="1:1" x14ac:dyDescent="0.25">
      <c r="A133" s="18" t="s">
        <v>234</v>
      </c>
    </row>
    <row r="134" spans="1:1" ht="15.75" x14ac:dyDescent="0.25">
      <c r="A134" s="19" t="s">
        <v>235</v>
      </c>
    </row>
    <row r="135" spans="1:1" ht="15.75" x14ac:dyDescent="0.25">
      <c r="A135" s="19" t="s">
        <v>236</v>
      </c>
    </row>
    <row r="136" spans="1:1" ht="18" x14ac:dyDescent="0.25">
      <c r="A136" s="16" t="s">
        <v>237</v>
      </c>
    </row>
    <row r="137" spans="1:1" x14ac:dyDescent="0.25">
      <c r="A137" s="18" t="s">
        <v>234</v>
      </c>
    </row>
    <row r="138" spans="1:1" ht="15.75" x14ac:dyDescent="0.25">
      <c r="A138" s="19" t="s">
        <v>238</v>
      </c>
    </row>
    <row r="139" spans="1:1" ht="15.75" x14ac:dyDescent="0.25">
      <c r="A139" s="19" t="s">
        <v>239</v>
      </c>
    </row>
    <row r="140" spans="1:1" ht="15.75" x14ac:dyDescent="0.25">
      <c r="A140" s="19" t="s">
        <v>240</v>
      </c>
    </row>
    <row r="141" spans="1:1" ht="18" x14ac:dyDescent="0.25">
      <c r="A141" s="16" t="s">
        <v>241</v>
      </c>
    </row>
    <row r="142" spans="1:1" x14ac:dyDescent="0.25">
      <c r="A142" s="18" t="s">
        <v>242</v>
      </c>
    </row>
    <row r="143" spans="1:1" ht="15.75" x14ac:dyDescent="0.25">
      <c r="A143" s="19" t="s">
        <v>243</v>
      </c>
    </row>
    <row r="144" spans="1:1" ht="15.75" x14ac:dyDescent="0.25">
      <c r="A144" s="19" t="s">
        <v>244</v>
      </c>
    </row>
    <row r="147" spans="1:1" ht="25.5" x14ac:dyDescent="0.25">
      <c r="A147" s="14" t="s">
        <v>245</v>
      </c>
    </row>
    <row r="148" spans="1:1" x14ac:dyDescent="0.25">
      <c r="A148" s="18" t="s">
        <v>246</v>
      </c>
    </row>
    <row r="149" spans="1:1" x14ac:dyDescent="0.25">
      <c r="A149" s="18" t="s">
        <v>247</v>
      </c>
    </row>
    <row r="150" spans="1:1" ht="15.75" x14ac:dyDescent="0.25">
      <c r="A150" s="19" t="s">
        <v>248</v>
      </c>
    </row>
    <row r="151" spans="1:1" ht="15.75" x14ac:dyDescent="0.25">
      <c r="A151" s="19" t="s">
        <v>249</v>
      </c>
    </row>
    <row r="152" spans="1:1" x14ac:dyDescent="0.25">
      <c r="A152" s="18" t="s">
        <v>250</v>
      </c>
    </row>
    <row r="153" spans="1:1" ht="15.75" x14ac:dyDescent="0.25">
      <c r="A153" s="19" t="s">
        <v>251</v>
      </c>
    </row>
    <row r="154" spans="1:1" ht="15.75" x14ac:dyDescent="0.25">
      <c r="A154" s="19" t="s">
        <v>252</v>
      </c>
    </row>
    <row r="157" spans="1:1" ht="25.5" x14ac:dyDescent="0.25">
      <c r="A157" s="14" t="s">
        <v>253</v>
      </c>
    </row>
    <row r="158" spans="1:1" x14ac:dyDescent="0.25">
      <c r="A158" s="18" t="s">
        <v>254</v>
      </c>
    </row>
    <row r="159" spans="1:1" ht="18" x14ac:dyDescent="0.25">
      <c r="A159" s="16" t="s">
        <v>255</v>
      </c>
    </row>
    <row r="160" spans="1:1" x14ac:dyDescent="0.25">
      <c r="A160" s="18" t="s">
        <v>256</v>
      </c>
    </row>
    <row r="161" spans="1:1" ht="18" x14ac:dyDescent="0.25">
      <c r="A161" s="16" t="s">
        <v>257</v>
      </c>
    </row>
    <row r="162" spans="1:1" x14ac:dyDescent="0.25">
      <c r="A162" s="18" t="s">
        <v>258</v>
      </c>
    </row>
    <row r="163" spans="1:1" x14ac:dyDescent="0.25">
      <c r="A163" s="18" t="s">
        <v>250</v>
      </c>
    </row>
    <row r="164" spans="1:1" ht="15.75" x14ac:dyDescent="0.25">
      <c r="A164" s="19" t="s">
        <v>259</v>
      </c>
    </row>
    <row r="165" spans="1:1" ht="15.75" x14ac:dyDescent="0.25">
      <c r="A165" s="19" t="s">
        <v>260</v>
      </c>
    </row>
    <row r="168" spans="1:1" ht="25.5" x14ac:dyDescent="0.25">
      <c r="A168" s="14" t="s">
        <v>261</v>
      </c>
    </row>
    <row r="169" spans="1:1" x14ac:dyDescent="0.25">
      <c r="A169" s="20" t="s">
        <v>262</v>
      </c>
    </row>
    <row r="170" spans="1:1" x14ac:dyDescent="0.25">
      <c r="A170" s="20" t="s">
        <v>263</v>
      </c>
    </row>
    <row r="171" spans="1:1" x14ac:dyDescent="0.25">
      <c r="A171" s="20" t="s">
        <v>264</v>
      </c>
    </row>
    <row r="172" spans="1:1" x14ac:dyDescent="0.25">
      <c r="A172" s="20" t="s">
        <v>265</v>
      </c>
    </row>
    <row r="173" spans="1:1" x14ac:dyDescent="0.25">
      <c r="A173" s="20" t="s">
        <v>266</v>
      </c>
    </row>
    <row r="174" spans="1:1" x14ac:dyDescent="0.25">
      <c r="A174" s="20" t="s">
        <v>267</v>
      </c>
    </row>
    <row r="175" spans="1:1" x14ac:dyDescent="0.25">
      <c r="A175" s="20" t="s">
        <v>268</v>
      </c>
    </row>
    <row r="176" spans="1:1" x14ac:dyDescent="0.25">
      <c r="A176" s="20" t="s">
        <v>269</v>
      </c>
    </row>
    <row r="179" spans="1:1" ht="25.5" x14ac:dyDescent="0.25">
      <c r="A179" s="14" t="s">
        <v>270</v>
      </c>
    </row>
    <row r="180" spans="1:1" ht="15.75" x14ac:dyDescent="0.25">
      <c r="A180" s="19" t="s">
        <v>271</v>
      </c>
    </row>
    <row r="181" spans="1:1" ht="15.75" x14ac:dyDescent="0.25">
      <c r="A181" s="19" t="s">
        <v>272</v>
      </c>
    </row>
    <row r="182" spans="1:1" ht="15.75" x14ac:dyDescent="0.25">
      <c r="A182" s="19" t="s">
        <v>273</v>
      </c>
    </row>
    <row r="183" spans="1:1" ht="15.75" x14ac:dyDescent="0.25">
      <c r="A183" s="19" t="s">
        <v>274</v>
      </c>
    </row>
    <row r="184" spans="1:1" ht="15.75" x14ac:dyDescent="0.25">
      <c r="A184" s="19" t="s">
        <v>275</v>
      </c>
    </row>
    <row r="185" spans="1:1" ht="15.75" x14ac:dyDescent="0.25">
      <c r="A185" s="19" t="s">
        <v>276</v>
      </c>
    </row>
    <row r="186" spans="1:1" ht="15.75" x14ac:dyDescent="0.25">
      <c r="A186" s="19" t="s">
        <v>277</v>
      </c>
    </row>
    <row r="187" spans="1:1" ht="15.75" x14ac:dyDescent="0.25">
      <c r="A187" s="19" t="s">
        <v>278</v>
      </c>
    </row>
    <row r="188" spans="1:1" ht="15.75" x14ac:dyDescent="0.25">
      <c r="A188" s="19" t="s">
        <v>279</v>
      </c>
    </row>
    <row r="189" spans="1:1" ht="15.75" x14ac:dyDescent="0.25">
      <c r="A189" s="23" t="s">
        <v>280</v>
      </c>
    </row>
    <row r="192" spans="1:1" ht="25.5" x14ac:dyDescent="0.25">
      <c r="A192" s="14" t="s">
        <v>281</v>
      </c>
    </row>
    <row r="193" spans="1:1" x14ac:dyDescent="0.25">
      <c r="A193" s="18" t="s">
        <v>282</v>
      </c>
    </row>
    <row r="194" spans="1:1" ht="15.75" x14ac:dyDescent="0.25">
      <c r="A194" s="19" t="s">
        <v>283</v>
      </c>
    </row>
    <row r="195" spans="1:1" ht="15.75" x14ac:dyDescent="0.25">
      <c r="A195" s="19" t="s">
        <v>284</v>
      </c>
    </row>
    <row r="196" spans="1:1" ht="15.75" x14ac:dyDescent="0.25">
      <c r="A196" s="19" t="s">
        <v>285</v>
      </c>
    </row>
    <row r="197" spans="1:1" ht="15.75" x14ac:dyDescent="0.25">
      <c r="A197" s="19" t="s">
        <v>286</v>
      </c>
    </row>
    <row r="198" spans="1:1" ht="15.75" x14ac:dyDescent="0.25">
      <c r="A198" s="19" t="s">
        <v>287</v>
      </c>
    </row>
    <row r="199" spans="1:1" ht="15.75" x14ac:dyDescent="0.25">
      <c r="A199" s="19" t="s">
        <v>288</v>
      </c>
    </row>
    <row r="200" spans="1:1" ht="15.75" x14ac:dyDescent="0.25">
      <c r="A200" s="19" t="s">
        <v>289</v>
      </c>
    </row>
    <row r="201" spans="1:1" ht="15.75" x14ac:dyDescent="0.25">
      <c r="A201" s="19" t="s">
        <v>290</v>
      </c>
    </row>
    <row r="202" spans="1:1" ht="15.75" x14ac:dyDescent="0.25">
      <c r="A202" s="19" t="s">
        <v>291</v>
      </c>
    </row>
    <row r="205" spans="1:1" ht="25.5" x14ac:dyDescent="0.25">
      <c r="A205" s="14" t="s">
        <v>292</v>
      </c>
    </row>
    <row r="206" spans="1:1" x14ac:dyDescent="0.25">
      <c r="A206" s="18" t="s">
        <v>293</v>
      </c>
    </row>
    <row r="207" spans="1:1" x14ac:dyDescent="0.25">
      <c r="A207" s="18" t="s">
        <v>294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Grade Management</vt:lpstr>
      <vt:lpstr>Dashboard</vt:lpstr>
      <vt:lpstr>Filtering Data</vt:lpstr>
      <vt:lpstr>report</vt:lpstr>
      <vt:lpstr>report!abstract</vt:lpstr>
      <vt:lpstr>report!advantages</vt:lpstr>
      <vt:lpstr>report!conclusion</vt:lpstr>
      <vt:lpstr>report!dashboard</vt:lpstr>
      <vt:lpstr>report!introduction</vt:lpstr>
      <vt:lpstr>report!limitations</vt:lpstr>
      <vt:lpstr>report!objectives</vt:lpstr>
      <vt:lpstr>report!percentage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farhan khan</cp:lastModifiedBy>
  <dcterms:created xsi:type="dcterms:W3CDTF">2026-06-09T05:04:52Z</dcterms:created>
  <dcterms:modified xsi:type="dcterms:W3CDTF">2026-06-09T07:24:12Z</dcterms:modified>
</cp:coreProperties>
</file>